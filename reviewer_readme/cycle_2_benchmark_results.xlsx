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167f078e81058cc3/Desktop/Paper/_In Process/BPM26 - Agentic Process Modeling/Agentic Process Modeling/reviewer_readme/"/>
    </mc:Choice>
  </mc:AlternateContent>
  <xr:revisionPtr revIDLastSave="190" documentId="13_ncr:1_{FC4AD2B7-1114-4323-BBEE-AC1CE55684A4}" xr6:coauthVersionLast="47" xr6:coauthVersionMax="47" xr10:uidLastSave="{52EA7DBC-E025-4FEE-B968-F31BD94B1FAC}"/>
  <bookViews>
    <workbookView xWindow="-28920" yWindow="3795" windowWidth="29040" windowHeight="15720" tabRatio="500" xr2:uid="{00000000-000D-0000-FFFF-FFFF00000000}"/>
  </bookViews>
  <sheets>
    <sheet name="Overview" sheetId="1" r:id="rId1"/>
    <sheet name="XML" sheetId="2" r:id="rId2"/>
    <sheet name="JSON" sheetId="3" r:id="rId3"/>
    <sheet name="LION" sheetId="4" r:id="rId4"/>
    <sheet name="Agentic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8" i="2" l="1"/>
  <c r="E2" i="3"/>
  <c r="E18" i="5"/>
  <c r="E19" i="5"/>
  <c r="E20" i="5"/>
  <c r="E21" i="5"/>
  <c r="E17" i="5"/>
  <c r="E13" i="5"/>
  <c r="E14" i="5"/>
  <c r="E15" i="5"/>
  <c r="E16" i="5"/>
  <c r="E22" i="5"/>
  <c r="E23" i="5"/>
  <c r="E24" i="5"/>
  <c r="E25" i="5"/>
  <c r="E26" i="5"/>
  <c r="E12" i="5"/>
  <c r="E9" i="5"/>
  <c r="E10" i="5"/>
  <c r="E11" i="5"/>
  <c r="E8" i="5"/>
  <c r="E7" i="5"/>
  <c r="E4" i="5"/>
  <c r="E5" i="5"/>
  <c r="E6" i="5"/>
  <c r="E3" i="5"/>
  <c r="D5" i="1"/>
  <c r="E5" i="1"/>
  <c r="F5" i="1"/>
  <c r="E2" i="5"/>
  <c r="F4" i="1"/>
  <c r="F3" i="1"/>
  <c r="D3" i="1"/>
  <c r="D4" i="1"/>
  <c r="E3" i="1"/>
  <c r="E4" i="1"/>
  <c r="E2" i="1"/>
  <c r="D2" i="1"/>
  <c r="F2" i="1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1" i="4"/>
  <c r="E90" i="4"/>
  <c r="E88" i="4"/>
  <c r="E87" i="4"/>
  <c r="E86" i="4"/>
  <c r="E85" i="4"/>
  <c r="E84" i="4"/>
  <c r="E83" i="4"/>
  <c r="E81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88" i="3"/>
  <c r="E86" i="3"/>
  <c r="E85" i="3"/>
  <c r="E83" i="3"/>
  <c r="E80" i="3"/>
  <c r="E79" i="3"/>
  <c r="E77" i="3"/>
  <c r="E76" i="3"/>
  <c r="E73" i="3"/>
  <c r="E72" i="3"/>
  <c r="E69" i="3"/>
  <c r="E66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93" i="2"/>
  <c r="E96" i="2"/>
  <c r="E98" i="2"/>
  <c r="E99" i="2"/>
  <c r="E102" i="2"/>
  <c r="E103" i="2"/>
  <c r="E105" i="2"/>
  <c r="E107" i="2"/>
  <c r="E109" i="2"/>
  <c r="E111" i="2"/>
  <c r="E114" i="2"/>
  <c r="E115" i="2"/>
  <c r="E116" i="2"/>
  <c r="E121" i="2"/>
  <c r="E92" i="2"/>
  <c r="E64" i="2"/>
  <c r="E65" i="2"/>
  <c r="E69" i="2"/>
  <c r="E74" i="2"/>
  <c r="E76" i="2"/>
  <c r="E77" i="2"/>
  <c r="E79" i="2"/>
  <c r="E80" i="2"/>
  <c r="E81" i="2"/>
  <c r="E83" i="2"/>
  <c r="E86" i="2"/>
  <c r="E87" i="2"/>
  <c r="E89" i="2"/>
  <c r="E90" i="2"/>
  <c r="E91" i="2"/>
  <c r="E123" i="2"/>
  <c r="E124" i="2"/>
  <c r="E127" i="2"/>
  <c r="E128" i="2"/>
  <c r="E137" i="2"/>
  <c r="E145" i="2"/>
  <c r="E149" i="2"/>
  <c r="E150" i="2"/>
  <c r="E40" i="2"/>
  <c r="E42" i="2"/>
  <c r="E43" i="2"/>
  <c r="E45" i="2"/>
  <c r="E46" i="2"/>
  <c r="E47" i="2"/>
  <c r="E53" i="2"/>
  <c r="E55" i="2"/>
  <c r="E56" i="2"/>
  <c r="E60" i="2"/>
  <c r="E32" i="2"/>
  <c r="E3" i="2"/>
  <c r="E4" i="2"/>
  <c r="E8" i="2"/>
  <c r="E9" i="2"/>
  <c r="E10" i="2"/>
  <c r="E11" i="2"/>
  <c r="E13" i="2"/>
  <c r="E14" i="2"/>
  <c r="E15" i="2"/>
  <c r="E16" i="2"/>
  <c r="E18" i="2"/>
  <c r="E20" i="2"/>
  <c r="E21" i="2"/>
  <c r="E22" i="2"/>
  <c r="E23" i="2"/>
  <c r="E24" i="2"/>
  <c r="E26" i="2"/>
  <c r="E27" i="2"/>
  <c r="E28" i="2"/>
  <c r="E30" i="2"/>
  <c r="E2" i="2"/>
  <c r="C5" i="1" l="1"/>
  <c r="C4" i="1"/>
  <c r="C3" i="1"/>
  <c r="E33" i="2"/>
  <c r="C2" i="1" s="1"/>
</calcChain>
</file>

<file path=xl/sharedStrings.xml><?xml version="1.0" encoding="utf-8"?>
<sst xmlns="http://schemas.openxmlformats.org/spreadsheetml/2006/main" count="1223" uniqueCount="54">
  <si>
    <t>Notation</t>
  </si>
  <si>
    <t>Accuracy</t>
  </si>
  <si>
    <t>Avg. Time (s)</t>
  </si>
  <si>
    <t>Avg. Tokens (OpenAI)</t>
  </si>
  <si>
    <t>XML</t>
  </si>
  <si>
    <t>JSON</t>
  </si>
  <si>
    <t>LION</t>
  </si>
  <si>
    <t>Task ID</t>
  </si>
  <si>
    <t>Task Title</t>
  </si>
  <si>
    <t>Run #</t>
  </si>
  <si>
    <t>Time (s)</t>
  </si>
  <si>
    <t>Tokens (OpenAI)</t>
  </si>
  <si>
    <t>Error</t>
  </si>
  <si>
    <t>task_01</t>
  </si>
  <si>
    <t>Return Processing in Online Retail</t>
  </si>
  <si>
    <t>task_02</t>
  </si>
  <si>
    <t>Insurance Claim Processing</t>
  </si>
  <si>
    <t>task_03</t>
  </si>
  <si>
    <t>Vacation Request Process</t>
  </si>
  <si>
    <t>task_04</t>
  </si>
  <si>
    <t>Processing of building permits</t>
  </si>
  <si>
    <t>task_05</t>
  </si>
  <si>
    <t>Office Supply Procurement</t>
  </si>
  <si>
    <t>Norm. Acc.</t>
  </si>
  <si>
    <t>Session ID</t>
  </si>
  <si>
    <t>AGENTIC</t>
  </si>
  <si>
    <t>24bb7414</t>
  </si>
  <si>
    <t>08c933d8</t>
  </si>
  <si>
    <t>35921e24</t>
  </si>
  <si>
    <t>f9f48a72</t>
  </si>
  <si>
    <t>a69e657a</t>
  </si>
  <si>
    <t>b6b3ba8c</t>
  </si>
  <si>
    <t>30f683ec</t>
  </si>
  <si>
    <t>fa49a1ec</t>
  </si>
  <si>
    <t>e8f5d54b</t>
  </si>
  <si>
    <t>e24d5ee8</t>
  </si>
  <si>
    <t>13709ba5</t>
  </si>
  <si>
    <t>2acfe0c5</t>
  </si>
  <si>
    <t>c0b8d08b</t>
  </si>
  <si>
    <t>6b0a1407</t>
  </si>
  <si>
    <t>57b0dd58</t>
  </si>
  <si>
    <t>8499676d</t>
  </si>
  <si>
    <t>0b907f9e</t>
  </si>
  <si>
    <t>58fa73e7</t>
  </si>
  <si>
    <t>186dd9ee</t>
  </si>
  <si>
    <t>a581393e</t>
  </si>
  <si>
    <t>9a5ae706</t>
  </si>
  <si>
    <t>afe9c5d7</t>
  </si>
  <si>
    <t>e4ad2a47</t>
  </si>
  <si>
    <t>6640ec7e</t>
  </si>
  <si>
    <t>005121f6</t>
  </si>
  <si>
    <t>Task</t>
  </si>
  <si>
    <t>ALL</t>
  </si>
  <si>
    <t>###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</si>
</sst>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  <font>
      <b/>
      <sz val="11"/>
      <name val="Calibri"/>
      <family val="2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 applyProtection="1"/>
    <xf numFmtId="0" fontId="1" fillId="2" borderId="1" xfId="0" applyFont="1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0" fontId="0" fillId="0" borderId="1" xfId="0" applyFont="1" applyBorder="1" applyAlignment="1" applyProtection="1"/>
    <xf numFmtId="0" fontId="0" fillId="0" borderId="1" xfId="0" applyBorder="1" applyAlignment="1" applyProtection="1">
      <alignment horizontal="center"/>
    </xf>
    <xf numFmtId="2" fontId="0" fillId="0" borderId="1" xfId="0" applyNumberFormat="1" applyFont="1" applyBorder="1" applyAlignment="1" applyProtection="1">
      <alignment horizontal="center"/>
    </xf>
    <xf numFmtId="0" fontId="0" fillId="0" borderId="1" xfId="0" applyBorder="1"/>
    <xf numFmtId="164" fontId="0" fillId="0" borderId="1" xfId="0" applyNumberFormat="1" applyFont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/>
    </xf>
    <xf numFmtId="49" fontId="0" fillId="0" borderId="0" xfId="0" applyNumberFormat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quotePrefix="1" applyBorder="1" applyAlignment="1" applyProtection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zoomScaleNormal="100" workbookViewId="0">
      <selection activeCell="A2" sqref="A2"/>
    </sheetView>
  </sheetViews>
  <sheetFormatPr baseColWidth="10" defaultColWidth="9.23046875" defaultRowHeight="14.25" customHeight="1" x14ac:dyDescent="0.4"/>
  <cols>
    <col min="2" max="3" width="12" style="1" customWidth="1"/>
    <col min="4" max="4" width="17" style="1" customWidth="1"/>
    <col min="5" max="5" width="24" style="1" customWidth="1"/>
  </cols>
  <sheetData>
    <row r="1" spans="1:6" ht="14.6" x14ac:dyDescent="0.4">
      <c r="A1" s="2" t="s">
        <v>51</v>
      </c>
      <c r="B1" s="2" t="s">
        <v>0</v>
      </c>
      <c r="C1" s="2" t="s">
        <v>23</v>
      </c>
      <c r="D1" s="2" t="s">
        <v>2</v>
      </c>
      <c r="E1" s="2" t="s">
        <v>3</v>
      </c>
      <c r="F1" s="2" t="s">
        <v>12</v>
      </c>
    </row>
    <row r="2" spans="1:6" ht="14.6" x14ac:dyDescent="0.4">
      <c r="A2" s="3" t="s">
        <v>52</v>
      </c>
      <c r="B2" s="3" t="s">
        <v>4</v>
      </c>
      <c r="C2" s="8">
        <f>AVERAGEIF(XML!E2:E151, "&gt;0")</f>
        <v>0.87025315990593777</v>
      </c>
      <c r="D2" s="6">
        <f>AVERAGEIF(XML!$H2:$H151,"&lt;&gt;Error",XML!F2:F151)</f>
        <v>73.699583333333322</v>
      </c>
      <c r="E2" s="6">
        <f>AVERAGEIF(XML!$H2:$H151,"&lt;&gt;Error",XML!G2:G151)</f>
        <v>19854.708333333332</v>
      </c>
      <c r="F2" s="7">
        <f>COUNTIF(XML!H2:H151, "Error")</f>
        <v>78</v>
      </c>
    </row>
    <row r="3" spans="1:6" ht="14.6" x14ac:dyDescent="0.4">
      <c r="A3" s="3" t="s">
        <v>52</v>
      </c>
      <c r="B3" s="3" t="s">
        <v>5</v>
      </c>
      <c r="C3" s="8">
        <f>AVERAGEIF(JSON!E2:E151, "&gt;0")</f>
        <v>0.91377044252044248</v>
      </c>
      <c r="D3" s="6">
        <f>AVERAGEIF(JSON!$H2:$H151,"&lt;&gt;Error",JSON!F2:F151)</f>
        <v>25.128030303030311</v>
      </c>
      <c r="E3" s="6">
        <f>AVERAGEIF(JSON!$H2:$H151,"&lt;&gt;Error",JSON!G2:G151)</f>
        <v>8765.5378787878781</v>
      </c>
      <c r="F3" s="7">
        <f>COUNTIF(JSON!H2:H151, "Error")</f>
        <v>18</v>
      </c>
    </row>
    <row r="4" spans="1:6" ht="14.6" x14ac:dyDescent="0.4">
      <c r="A4" s="3" t="s">
        <v>52</v>
      </c>
      <c r="B4" s="3" t="s">
        <v>6</v>
      </c>
      <c r="C4" s="8">
        <f>AVERAGEIF(LION!E2:E151, "&gt;0")</f>
        <v>0.91300966976829045</v>
      </c>
      <c r="D4" s="6">
        <f>AVERAGEIF(LION!$H2:$H151,"&lt;&gt;Error",LION!F2:F151)</f>
        <v>16.373931034482759</v>
      </c>
      <c r="E4" s="6">
        <f>AVERAGEIF(LION!$H2:$H151,"&lt;&gt;Error",LION!G2:G151)</f>
        <v>7964.0896551724136</v>
      </c>
      <c r="F4" s="7">
        <f>COUNTIF(LION!H2:H151, "Error")</f>
        <v>5</v>
      </c>
    </row>
    <row r="5" spans="1:6" ht="14.25" customHeight="1" x14ac:dyDescent="0.4">
      <c r="A5" s="3" t="s">
        <v>52</v>
      </c>
      <c r="B5" s="3" t="s">
        <v>25</v>
      </c>
      <c r="C5" s="8">
        <f>AVERAGEIF(Agentic!E2:E151, "&gt;0")</f>
        <v>0.98420105820105841</v>
      </c>
      <c r="D5" s="6">
        <f>AVERAGEIF(Agentic!$H23:$H151,"&lt;&gt;Error",Agentic!F2:F151)</f>
        <v>145.77600000000001</v>
      </c>
      <c r="E5" s="6">
        <f>AVERAGEIF(Agentic!$H2:$H151,"&lt;&gt;Error",Agentic!G2:G151)</f>
        <v>53132.160000000003</v>
      </c>
      <c r="F5" s="7">
        <f>COUNTIF(Agentic!H2:H151, "Error")</f>
        <v>0</v>
      </c>
    </row>
  </sheetData>
  <phoneticPr fontId="3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1"/>
  <sheetViews>
    <sheetView zoomScaleNormal="100" workbookViewId="0">
      <selection activeCell="A2" sqref="A2"/>
    </sheetView>
  </sheetViews>
  <sheetFormatPr baseColWidth="10" defaultColWidth="9.23046875" defaultRowHeight="14.25" customHeight="1" x14ac:dyDescent="0.4"/>
  <cols>
    <col min="1" max="1" width="11" style="1" customWidth="1"/>
    <col min="2" max="2" width="38" style="1" customWidth="1"/>
    <col min="3" max="3" width="9" style="1" customWidth="1"/>
    <col min="4" max="6" width="12" style="1" customWidth="1"/>
    <col min="7" max="7" width="19" style="1" customWidth="1"/>
    <col min="8" max="8" width="18" style="1" customWidth="1"/>
  </cols>
  <sheetData>
    <row r="1" spans="1:8" ht="14.6" x14ac:dyDescent="0.4">
      <c r="A1" s="2" t="s">
        <v>7</v>
      </c>
      <c r="B1" s="2" t="s">
        <v>8</v>
      </c>
      <c r="C1" s="2" t="s">
        <v>9</v>
      </c>
      <c r="D1" s="2" t="s">
        <v>1</v>
      </c>
      <c r="E1" s="2" t="s">
        <v>23</v>
      </c>
      <c r="F1" s="2" t="s">
        <v>10</v>
      </c>
      <c r="G1" s="2" t="s">
        <v>11</v>
      </c>
      <c r="H1" s="2" t="s">
        <v>12</v>
      </c>
    </row>
    <row r="2" spans="1:8" ht="14.6" x14ac:dyDescent="0.4">
      <c r="A2" s="4" t="s">
        <v>13</v>
      </c>
      <c r="B2" s="4" t="s">
        <v>14</v>
      </c>
      <c r="C2" s="5">
        <v>1</v>
      </c>
      <c r="D2" s="5">
        <v>47</v>
      </c>
      <c r="E2" s="5">
        <f>D2/50</f>
        <v>0.94</v>
      </c>
      <c r="F2" s="5">
        <v>48.91</v>
      </c>
      <c r="G2" s="5">
        <v>17439</v>
      </c>
      <c r="H2" s="5"/>
    </row>
    <row r="3" spans="1:8" ht="14.6" x14ac:dyDescent="0.4">
      <c r="A3" s="4" t="s">
        <v>13</v>
      </c>
      <c r="B3" s="4" t="s">
        <v>14</v>
      </c>
      <c r="C3" s="5">
        <v>2</v>
      </c>
      <c r="D3" s="5">
        <v>45</v>
      </c>
      <c r="E3" s="5">
        <f t="shared" ref="E3:E30" si="0">D3/50</f>
        <v>0.9</v>
      </c>
      <c r="F3" s="5">
        <v>53.61</v>
      </c>
      <c r="G3" s="5">
        <v>18007</v>
      </c>
      <c r="H3" s="5"/>
    </row>
    <row r="4" spans="1:8" ht="14.6" x14ac:dyDescent="0.4">
      <c r="A4" s="4" t="s">
        <v>13</v>
      </c>
      <c r="B4" s="4" t="s">
        <v>14</v>
      </c>
      <c r="C4" s="5">
        <v>3</v>
      </c>
      <c r="D4" s="5">
        <v>46.5</v>
      </c>
      <c r="E4" s="5">
        <f t="shared" si="0"/>
        <v>0.93</v>
      </c>
      <c r="F4" s="5">
        <v>58.68</v>
      </c>
      <c r="G4" s="5">
        <v>17954</v>
      </c>
      <c r="H4" s="5"/>
    </row>
    <row r="5" spans="1:8" ht="14.6" x14ac:dyDescent="0.4">
      <c r="A5" s="4" t="s">
        <v>13</v>
      </c>
      <c r="B5" s="4" t="s">
        <v>14</v>
      </c>
      <c r="C5" s="5">
        <v>4</v>
      </c>
      <c r="D5" s="5" t="s">
        <v>53</v>
      </c>
      <c r="E5" s="5"/>
      <c r="F5" s="5">
        <v>53.24</v>
      </c>
      <c r="G5" s="5">
        <v>17936</v>
      </c>
      <c r="H5" s="5" t="s">
        <v>12</v>
      </c>
    </row>
    <row r="6" spans="1:8" ht="14.6" x14ac:dyDescent="0.4">
      <c r="A6" s="4" t="s">
        <v>13</v>
      </c>
      <c r="B6" s="4" t="s">
        <v>14</v>
      </c>
      <c r="C6" s="5">
        <v>5</v>
      </c>
      <c r="D6" s="5" t="s">
        <v>53</v>
      </c>
      <c r="E6" s="5"/>
      <c r="F6" s="5">
        <v>51.63</v>
      </c>
      <c r="G6" s="5">
        <v>17816</v>
      </c>
      <c r="H6" s="5" t="s">
        <v>12</v>
      </c>
    </row>
    <row r="7" spans="1:8" ht="14.6" x14ac:dyDescent="0.4">
      <c r="A7" s="4" t="s">
        <v>13</v>
      </c>
      <c r="B7" s="4" t="s">
        <v>14</v>
      </c>
      <c r="C7" s="5">
        <v>6</v>
      </c>
      <c r="D7" s="5" t="s">
        <v>53</v>
      </c>
      <c r="E7" s="5"/>
      <c r="F7" s="5">
        <v>53.44</v>
      </c>
      <c r="G7" s="5">
        <v>17721</v>
      </c>
      <c r="H7" s="5" t="s">
        <v>12</v>
      </c>
    </row>
    <row r="8" spans="1:8" ht="14.6" x14ac:dyDescent="0.4">
      <c r="A8" s="4" t="s">
        <v>13</v>
      </c>
      <c r="B8" s="4" t="s">
        <v>14</v>
      </c>
      <c r="C8" s="5">
        <v>7</v>
      </c>
      <c r="D8" s="5">
        <v>46</v>
      </c>
      <c r="E8" s="5">
        <f t="shared" si="0"/>
        <v>0.92</v>
      </c>
      <c r="F8" s="5">
        <v>56.66</v>
      </c>
      <c r="G8" s="5">
        <v>17652</v>
      </c>
      <c r="H8" s="5"/>
    </row>
    <row r="9" spans="1:8" ht="14.6" x14ac:dyDescent="0.4">
      <c r="A9" s="4" t="s">
        <v>13</v>
      </c>
      <c r="B9" s="4" t="s">
        <v>14</v>
      </c>
      <c r="C9" s="5">
        <v>8</v>
      </c>
      <c r="D9" s="5">
        <v>46.5</v>
      </c>
      <c r="E9" s="5">
        <f t="shared" si="0"/>
        <v>0.93</v>
      </c>
      <c r="F9" s="5">
        <v>55.9</v>
      </c>
      <c r="G9" s="5">
        <v>18071</v>
      </c>
      <c r="H9" s="5"/>
    </row>
    <row r="10" spans="1:8" ht="14.6" x14ac:dyDescent="0.4">
      <c r="A10" s="4" t="s">
        <v>13</v>
      </c>
      <c r="B10" s="4" t="s">
        <v>14</v>
      </c>
      <c r="C10" s="5">
        <v>9</v>
      </c>
      <c r="D10" s="5">
        <v>48.5</v>
      </c>
      <c r="E10" s="5">
        <f t="shared" si="0"/>
        <v>0.97</v>
      </c>
      <c r="F10" s="5">
        <v>55.19</v>
      </c>
      <c r="G10" s="5">
        <v>17528</v>
      </c>
      <c r="H10" s="5"/>
    </row>
    <row r="11" spans="1:8" ht="14.6" x14ac:dyDescent="0.4">
      <c r="A11" s="4" t="s">
        <v>13</v>
      </c>
      <c r="B11" s="4" t="s">
        <v>14</v>
      </c>
      <c r="C11" s="5">
        <v>10</v>
      </c>
      <c r="D11" s="5">
        <v>43.5</v>
      </c>
      <c r="E11" s="5">
        <f t="shared" si="0"/>
        <v>0.87</v>
      </c>
      <c r="F11" s="5">
        <v>61.3</v>
      </c>
      <c r="G11" s="5">
        <v>17888</v>
      </c>
      <c r="H11" s="5"/>
    </row>
    <row r="12" spans="1:8" ht="14.6" x14ac:dyDescent="0.4">
      <c r="A12" s="4" t="s">
        <v>13</v>
      </c>
      <c r="B12" s="4" t="s">
        <v>14</v>
      </c>
      <c r="C12" s="5">
        <v>11</v>
      </c>
      <c r="D12" s="5" t="s">
        <v>53</v>
      </c>
      <c r="E12" s="5"/>
      <c r="F12" s="5">
        <v>61.11</v>
      </c>
      <c r="G12" s="5">
        <v>17696</v>
      </c>
      <c r="H12" s="5" t="s">
        <v>12</v>
      </c>
    </row>
    <row r="13" spans="1:8" ht="14.6" x14ac:dyDescent="0.4">
      <c r="A13" s="4" t="s">
        <v>13</v>
      </c>
      <c r="B13" s="4" t="s">
        <v>14</v>
      </c>
      <c r="C13" s="5">
        <v>12</v>
      </c>
      <c r="D13" s="5">
        <v>44</v>
      </c>
      <c r="E13" s="5">
        <f t="shared" si="0"/>
        <v>0.88</v>
      </c>
      <c r="F13" s="5">
        <v>89.34</v>
      </c>
      <c r="G13" s="5">
        <v>20624</v>
      </c>
      <c r="H13" s="5"/>
    </row>
    <row r="14" spans="1:8" ht="14.6" x14ac:dyDescent="0.4">
      <c r="A14" s="4" t="s">
        <v>13</v>
      </c>
      <c r="B14" s="4" t="s">
        <v>14</v>
      </c>
      <c r="C14" s="5">
        <v>13</v>
      </c>
      <c r="D14" s="5">
        <v>43</v>
      </c>
      <c r="E14" s="5">
        <f t="shared" si="0"/>
        <v>0.86</v>
      </c>
      <c r="F14" s="5">
        <v>59.38</v>
      </c>
      <c r="G14" s="5">
        <v>17968</v>
      </c>
      <c r="H14" s="5"/>
    </row>
    <row r="15" spans="1:8" ht="14.6" x14ac:dyDescent="0.4">
      <c r="A15" s="4" t="s">
        <v>13</v>
      </c>
      <c r="B15" s="4" t="s">
        <v>14</v>
      </c>
      <c r="C15" s="5">
        <v>14</v>
      </c>
      <c r="D15" s="5">
        <v>42.5</v>
      </c>
      <c r="E15" s="5">
        <f t="shared" si="0"/>
        <v>0.85</v>
      </c>
      <c r="F15" s="5">
        <v>59.88</v>
      </c>
      <c r="G15" s="5">
        <v>17697</v>
      </c>
      <c r="H15" s="5"/>
    </row>
    <row r="16" spans="1:8" ht="14.6" x14ac:dyDescent="0.4">
      <c r="A16" s="4" t="s">
        <v>13</v>
      </c>
      <c r="B16" s="4" t="s">
        <v>14</v>
      </c>
      <c r="C16" s="5">
        <v>15</v>
      </c>
      <c r="D16" s="5">
        <v>48.5</v>
      </c>
      <c r="E16" s="5">
        <f t="shared" si="0"/>
        <v>0.97</v>
      </c>
      <c r="F16" s="5">
        <v>58.32</v>
      </c>
      <c r="G16" s="5">
        <v>18016</v>
      </c>
      <c r="H16" s="5"/>
    </row>
    <row r="17" spans="1:8" ht="14.6" x14ac:dyDescent="0.4">
      <c r="A17" s="4" t="s">
        <v>13</v>
      </c>
      <c r="B17" s="4" t="s">
        <v>14</v>
      </c>
      <c r="C17" s="5">
        <v>16</v>
      </c>
      <c r="D17" s="5" t="s">
        <v>53</v>
      </c>
      <c r="E17" s="5"/>
      <c r="F17" s="5">
        <v>52.2</v>
      </c>
      <c r="G17" s="5">
        <v>17609</v>
      </c>
      <c r="H17" s="5" t="s">
        <v>12</v>
      </c>
    </row>
    <row r="18" spans="1:8" ht="14.6" x14ac:dyDescent="0.4">
      <c r="A18" s="4" t="s">
        <v>13</v>
      </c>
      <c r="B18" s="4" t="s">
        <v>14</v>
      </c>
      <c r="C18" s="5">
        <v>17</v>
      </c>
      <c r="D18" s="5">
        <v>44</v>
      </c>
      <c r="E18" s="5">
        <f t="shared" si="0"/>
        <v>0.88</v>
      </c>
      <c r="F18" s="5">
        <v>57.6</v>
      </c>
      <c r="G18" s="5">
        <v>17667</v>
      </c>
      <c r="H18" s="5"/>
    </row>
    <row r="19" spans="1:8" ht="14.6" x14ac:dyDescent="0.4">
      <c r="A19" s="4" t="s">
        <v>13</v>
      </c>
      <c r="B19" s="4" t="s">
        <v>14</v>
      </c>
      <c r="C19" s="5">
        <v>18</v>
      </c>
      <c r="D19" s="5" t="s">
        <v>53</v>
      </c>
      <c r="E19" s="5"/>
      <c r="F19" s="5">
        <v>53.3</v>
      </c>
      <c r="G19" s="5">
        <v>17844</v>
      </c>
      <c r="H19" s="5" t="s">
        <v>12</v>
      </c>
    </row>
    <row r="20" spans="1:8" ht="14.6" x14ac:dyDescent="0.4">
      <c r="A20" s="4" t="s">
        <v>13</v>
      </c>
      <c r="B20" s="4" t="s">
        <v>14</v>
      </c>
      <c r="C20" s="5">
        <v>19</v>
      </c>
      <c r="D20" s="5">
        <v>42</v>
      </c>
      <c r="E20" s="5">
        <f t="shared" si="0"/>
        <v>0.84</v>
      </c>
      <c r="F20" s="5">
        <v>59</v>
      </c>
      <c r="G20" s="5">
        <v>17807</v>
      </c>
      <c r="H20" s="5"/>
    </row>
    <row r="21" spans="1:8" ht="14.6" x14ac:dyDescent="0.4">
      <c r="A21" s="4" t="s">
        <v>13</v>
      </c>
      <c r="B21" s="4" t="s">
        <v>14</v>
      </c>
      <c r="C21" s="5">
        <v>20</v>
      </c>
      <c r="D21" s="5">
        <v>43</v>
      </c>
      <c r="E21" s="5">
        <f t="shared" si="0"/>
        <v>0.86</v>
      </c>
      <c r="F21" s="5">
        <v>54.14</v>
      </c>
      <c r="G21" s="5">
        <v>17638</v>
      </c>
      <c r="H21" s="5"/>
    </row>
    <row r="22" spans="1:8" ht="14.6" x14ac:dyDescent="0.4">
      <c r="A22" s="4" t="s">
        <v>13</v>
      </c>
      <c r="B22" s="4" t="s">
        <v>14</v>
      </c>
      <c r="C22" s="5">
        <v>21</v>
      </c>
      <c r="D22" s="5">
        <v>48.5</v>
      </c>
      <c r="E22" s="5">
        <f t="shared" si="0"/>
        <v>0.97</v>
      </c>
      <c r="F22" s="5">
        <v>58.35</v>
      </c>
      <c r="G22" s="5">
        <v>17582</v>
      </c>
      <c r="H22" s="5"/>
    </row>
    <row r="23" spans="1:8" ht="14.6" x14ac:dyDescent="0.4">
      <c r="A23" s="4" t="s">
        <v>13</v>
      </c>
      <c r="B23" s="4" t="s">
        <v>14</v>
      </c>
      <c r="C23" s="5">
        <v>22</v>
      </c>
      <c r="D23" s="5">
        <v>44.5</v>
      </c>
      <c r="E23" s="5">
        <f t="shared" si="0"/>
        <v>0.89</v>
      </c>
      <c r="F23" s="5">
        <v>59.04</v>
      </c>
      <c r="G23" s="5">
        <v>17750</v>
      </c>
      <c r="H23" s="5"/>
    </row>
    <row r="24" spans="1:8" ht="14.6" x14ac:dyDescent="0.4">
      <c r="A24" s="4" t="s">
        <v>13</v>
      </c>
      <c r="B24" s="4" t="s">
        <v>14</v>
      </c>
      <c r="C24" s="5">
        <v>23</v>
      </c>
      <c r="D24" s="5">
        <v>42</v>
      </c>
      <c r="E24" s="5">
        <f t="shared" si="0"/>
        <v>0.84</v>
      </c>
      <c r="F24" s="5">
        <v>57.15</v>
      </c>
      <c r="G24" s="5">
        <v>17905</v>
      </c>
      <c r="H24" s="5"/>
    </row>
    <row r="25" spans="1:8" ht="14.6" x14ac:dyDescent="0.4">
      <c r="A25" s="4" t="s">
        <v>13</v>
      </c>
      <c r="B25" s="4" t="s">
        <v>14</v>
      </c>
      <c r="C25" s="5">
        <v>24</v>
      </c>
      <c r="D25" s="5" t="s">
        <v>53</v>
      </c>
      <c r="E25" s="5"/>
      <c r="F25" s="5">
        <v>55.3</v>
      </c>
      <c r="G25" s="5">
        <v>17411</v>
      </c>
      <c r="H25" s="5" t="s">
        <v>12</v>
      </c>
    </row>
    <row r="26" spans="1:8" ht="14.6" x14ac:dyDescent="0.4">
      <c r="A26" s="4" t="s">
        <v>13</v>
      </c>
      <c r="B26" s="4" t="s">
        <v>14</v>
      </c>
      <c r="C26" s="5">
        <v>25</v>
      </c>
      <c r="D26" s="5">
        <v>43.5</v>
      </c>
      <c r="E26" s="5">
        <f t="shared" si="0"/>
        <v>0.87</v>
      </c>
      <c r="F26" s="5">
        <v>59.31</v>
      </c>
      <c r="G26" s="5">
        <v>17855</v>
      </c>
      <c r="H26" s="5"/>
    </row>
    <row r="27" spans="1:8" ht="14.6" x14ac:dyDescent="0.4">
      <c r="A27" s="4" t="s">
        <v>13</v>
      </c>
      <c r="B27" s="4" t="s">
        <v>14</v>
      </c>
      <c r="C27" s="5">
        <v>26</v>
      </c>
      <c r="D27" s="5">
        <v>45.5</v>
      </c>
      <c r="E27" s="5">
        <f t="shared" si="0"/>
        <v>0.91</v>
      </c>
      <c r="F27" s="5">
        <v>55.75</v>
      </c>
      <c r="G27" s="5">
        <v>18030</v>
      </c>
      <c r="H27" s="5"/>
    </row>
    <row r="28" spans="1:8" ht="14.6" x14ac:dyDescent="0.4">
      <c r="A28" s="4" t="s">
        <v>13</v>
      </c>
      <c r="B28" s="4" t="s">
        <v>14</v>
      </c>
      <c r="C28" s="5">
        <v>27</v>
      </c>
      <c r="D28" s="5">
        <v>50</v>
      </c>
      <c r="E28" s="5">
        <f t="shared" si="0"/>
        <v>1</v>
      </c>
      <c r="F28" s="5">
        <v>57.99</v>
      </c>
      <c r="G28" s="5">
        <v>17705</v>
      </c>
      <c r="H28" s="5"/>
    </row>
    <row r="29" spans="1:8" ht="14.6" x14ac:dyDescent="0.4">
      <c r="A29" s="4" t="s">
        <v>13</v>
      </c>
      <c r="B29" s="4" t="s">
        <v>14</v>
      </c>
      <c r="C29" s="5">
        <v>28</v>
      </c>
      <c r="D29" s="5" t="s">
        <v>53</v>
      </c>
      <c r="E29" s="5"/>
      <c r="F29" s="5">
        <v>57.88</v>
      </c>
      <c r="G29" s="5">
        <v>17597</v>
      </c>
      <c r="H29" s="5" t="s">
        <v>12</v>
      </c>
    </row>
    <row r="30" spans="1:8" ht="14.6" x14ac:dyDescent="0.4">
      <c r="A30" s="4" t="s">
        <v>13</v>
      </c>
      <c r="B30" s="4" t="s">
        <v>14</v>
      </c>
      <c r="C30" s="5">
        <v>29</v>
      </c>
      <c r="D30" s="5">
        <v>44.5</v>
      </c>
      <c r="E30" s="5">
        <f t="shared" si="0"/>
        <v>0.89</v>
      </c>
      <c r="F30" s="5">
        <v>54.95</v>
      </c>
      <c r="G30" s="5">
        <v>17775</v>
      </c>
      <c r="H30" s="5"/>
    </row>
    <row r="31" spans="1:8" ht="14.6" x14ac:dyDescent="0.4">
      <c r="A31" s="4" t="s">
        <v>13</v>
      </c>
      <c r="B31" s="4" t="s">
        <v>14</v>
      </c>
      <c r="C31" s="5">
        <v>30</v>
      </c>
      <c r="D31" s="5" t="s">
        <v>53</v>
      </c>
      <c r="E31" s="5"/>
      <c r="F31" s="5">
        <v>56.18</v>
      </c>
      <c r="G31" s="5">
        <v>17745</v>
      </c>
      <c r="H31" s="5" t="s">
        <v>12</v>
      </c>
    </row>
    <row r="32" spans="1:8" ht="14.6" x14ac:dyDescent="0.4">
      <c r="A32" s="4" t="s">
        <v>15</v>
      </c>
      <c r="B32" s="4" t="s">
        <v>16</v>
      </c>
      <c r="C32" s="5">
        <v>1</v>
      </c>
      <c r="D32" s="11">
        <v>61.5</v>
      </c>
      <c r="E32" s="5">
        <f>D32/67.5</f>
        <v>0.91111111111111109</v>
      </c>
      <c r="F32" s="5">
        <v>88.67</v>
      </c>
      <c r="G32" s="5">
        <v>21576</v>
      </c>
      <c r="H32" s="5"/>
    </row>
    <row r="33" spans="1:8" ht="14.6" x14ac:dyDescent="0.4">
      <c r="A33" s="4" t="s">
        <v>15</v>
      </c>
      <c r="B33" s="4" t="s">
        <v>16</v>
      </c>
      <c r="C33" s="5">
        <v>2</v>
      </c>
      <c r="D33" s="13">
        <v>57</v>
      </c>
      <c r="E33" s="5">
        <f t="shared" ref="E33:E60" si="1">D33/67.5</f>
        <v>0.84444444444444444</v>
      </c>
      <c r="F33" s="5">
        <v>75.12</v>
      </c>
      <c r="G33" s="5">
        <v>20211</v>
      </c>
      <c r="H33" s="5"/>
    </row>
    <row r="34" spans="1:8" ht="14.6" x14ac:dyDescent="0.4">
      <c r="A34" s="4" t="s">
        <v>15</v>
      </c>
      <c r="B34" s="4" t="s">
        <v>16</v>
      </c>
      <c r="C34" s="5">
        <v>3</v>
      </c>
      <c r="D34" s="5" t="s">
        <v>53</v>
      </c>
      <c r="E34" s="5"/>
      <c r="F34" s="5">
        <v>88.3</v>
      </c>
      <c r="G34" s="5">
        <v>21830</v>
      </c>
      <c r="H34" s="5" t="s">
        <v>12</v>
      </c>
    </row>
    <row r="35" spans="1:8" ht="14.6" x14ac:dyDescent="0.4">
      <c r="A35" s="4" t="s">
        <v>15</v>
      </c>
      <c r="B35" s="4" t="s">
        <v>16</v>
      </c>
      <c r="C35" s="5">
        <v>4</v>
      </c>
      <c r="D35" s="11" t="s">
        <v>53</v>
      </c>
      <c r="E35" s="5"/>
      <c r="F35" s="5">
        <v>102.49</v>
      </c>
      <c r="G35" s="5">
        <v>22573</v>
      </c>
      <c r="H35" s="5" t="s">
        <v>12</v>
      </c>
    </row>
    <row r="36" spans="1:8" ht="14.6" x14ac:dyDescent="0.4">
      <c r="A36" s="4" t="s">
        <v>15</v>
      </c>
      <c r="B36" s="4" t="s">
        <v>16</v>
      </c>
      <c r="C36" s="5">
        <v>5</v>
      </c>
      <c r="D36" s="5" t="s">
        <v>53</v>
      </c>
      <c r="E36" s="5"/>
      <c r="F36" s="5">
        <v>92.86</v>
      </c>
      <c r="G36" s="5">
        <v>21499</v>
      </c>
      <c r="H36" s="5" t="s">
        <v>12</v>
      </c>
    </row>
    <row r="37" spans="1:8" ht="14.6" x14ac:dyDescent="0.4">
      <c r="A37" s="4" t="s">
        <v>15</v>
      </c>
      <c r="B37" s="4" t="s">
        <v>16</v>
      </c>
      <c r="C37" s="5">
        <v>6</v>
      </c>
      <c r="D37" s="5" t="s">
        <v>53</v>
      </c>
      <c r="E37" s="5"/>
      <c r="F37" s="5">
        <v>87.22</v>
      </c>
      <c r="G37" s="5">
        <v>21671</v>
      </c>
      <c r="H37" s="5" t="s">
        <v>12</v>
      </c>
    </row>
    <row r="38" spans="1:8" ht="14.6" x14ac:dyDescent="0.4">
      <c r="A38" s="4" t="s">
        <v>15</v>
      </c>
      <c r="B38" s="4" t="s">
        <v>16</v>
      </c>
      <c r="C38" s="5">
        <v>7</v>
      </c>
      <c r="D38" s="11" t="s">
        <v>53</v>
      </c>
      <c r="E38" s="5"/>
      <c r="F38" s="5">
        <v>78.77</v>
      </c>
      <c r="G38" s="5">
        <v>20716</v>
      </c>
      <c r="H38" s="5" t="s">
        <v>12</v>
      </c>
    </row>
    <row r="39" spans="1:8" ht="14.6" x14ac:dyDescent="0.4">
      <c r="A39" s="4" t="s">
        <v>15</v>
      </c>
      <c r="B39" s="4" t="s">
        <v>16</v>
      </c>
      <c r="C39" s="5">
        <v>8</v>
      </c>
      <c r="D39" s="5" t="s">
        <v>53</v>
      </c>
      <c r="E39" s="5"/>
      <c r="F39" s="5">
        <v>84.31</v>
      </c>
      <c r="G39" s="5">
        <v>21345</v>
      </c>
      <c r="H39" s="5" t="s">
        <v>12</v>
      </c>
    </row>
    <row r="40" spans="1:8" ht="14.6" x14ac:dyDescent="0.4">
      <c r="A40" s="4" t="s">
        <v>15</v>
      </c>
      <c r="B40" s="4" t="s">
        <v>16</v>
      </c>
      <c r="C40" s="5">
        <v>9</v>
      </c>
      <c r="D40" s="11">
        <v>60</v>
      </c>
      <c r="E40" s="5">
        <f t="shared" si="1"/>
        <v>0.88888888888888884</v>
      </c>
      <c r="F40" s="5">
        <v>84.13</v>
      </c>
      <c r="G40" s="5">
        <v>20603</v>
      </c>
      <c r="H40" s="5"/>
    </row>
    <row r="41" spans="1:8" ht="14.6" x14ac:dyDescent="0.4">
      <c r="A41" s="4" t="s">
        <v>15</v>
      </c>
      <c r="B41" s="4" t="s">
        <v>16</v>
      </c>
      <c r="C41" s="5">
        <v>10</v>
      </c>
      <c r="D41" s="11" t="s">
        <v>53</v>
      </c>
      <c r="E41" s="5"/>
      <c r="F41" s="5">
        <v>81.53</v>
      </c>
      <c r="G41" s="5">
        <v>21056</v>
      </c>
      <c r="H41" s="5" t="s">
        <v>12</v>
      </c>
    </row>
    <row r="42" spans="1:8" ht="14.6" x14ac:dyDescent="0.4">
      <c r="A42" s="4" t="s">
        <v>15</v>
      </c>
      <c r="B42" s="4" t="s">
        <v>16</v>
      </c>
      <c r="C42" s="5">
        <v>11</v>
      </c>
      <c r="D42" s="5">
        <v>58</v>
      </c>
      <c r="E42" s="5">
        <f t="shared" si="1"/>
        <v>0.85925925925925928</v>
      </c>
      <c r="F42" s="5">
        <v>107.93</v>
      </c>
      <c r="G42" s="5">
        <v>22908</v>
      </c>
      <c r="H42" s="5"/>
    </row>
    <row r="43" spans="1:8" ht="14.6" x14ac:dyDescent="0.4">
      <c r="A43" s="4" t="s">
        <v>15</v>
      </c>
      <c r="B43" s="4" t="s">
        <v>16</v>
      </c>
      <c r="C43" s="5">
        <v>12</v>
      </c>
      <c r="D43" s="11">
        <v>60.5</v>
      </c>
      <c r="E43" s="5">
        <f t="shared" si="1"/>
        <v>0.89629629629629626</v>
      </c>
      <c r="F43" s="5">
        <v>69.91</v>
      </c>
      <c r="G43" s="5">
        <v>19847</v>
      </c>
      <c r="H43" s="5"/>
    </row>
    <row r="44" spans="1:8" ht="14.6" x14ac:dyDescent="0.4">
      <c r="A44" s="4" t="s">
        <v>15</v>
      </c>
      <c r="B44" s="4" t="s">
        <v>16</v>
      </c>
      <c r="C44" s="5">
        <v>13</v>
      </c>
      <c r="D44" s="11" t="s">
        <v>53</v>
      </c>
      <c r="E44" s="5"/>
      <c r="F44" s="5">
        <v>66.87</v>
      </c>
      <c r="G44" s="5">
        <v>19590</v>
      </c>
      <c r="H44" s="5" t="s">
        <v>12</v>
      </c>
    </row>
    <row r="45" spans="1:8" ht="14.6" x14ac:dyDescent="0.4">
      <c r="A45" s="4" t="s">
        <v>15</v>
      </c>
      <c r="B45" s="4" t="s">
        <v>16</v>
      </c>
      <c r="C45" s="5">
        <v>14</v>
      </c>
      <c r="D45" s="5">
        <v>60.5</v>
      </c>
      <c r="E45" s="5">
        <f t="shared" si="1"/>
        <v>0.89629629629629626</v>
      </c>
      <c r="F45" s="5">
        <v>79.069999999999993</v>
      </c>
      <c r="G45" s="5">
        <v>20948</v>
      </c>
      <c r="H45" s="5"/>
    </row>
    <row r="46" spans="1:8" ht="14.6" x14ac:dyDescent="0.4">
      <c r="A46" s="4" t="s">
        <v>15</v>
      </c>
      <c r="B46" s="4" t="s">
        <v>16</v>
      </c>
      <c r="C46" s="5">
        <v>15</v>
      </c>
      <c r="D46" s="11">
        <v>59.5</v>
      </c>
      <c r="E46" s="5">
        <f t="shared" si="1"/>
        <v>0.88148148148148153</v>
      </c>
      <c r="F46" s="5">
        <v>101.91</v>
      </c>
      <c r="G46" s="5">
        <v>22468</v>
      </c>
      <c r="H46" s="5"/>
    </row>
    <row r="47" spans="1:8" ht="14.6" x14ac:dyDescent="0.4">
      <c r="A47" s="4" t="s">
        <v>15</v>
      </c>
      <c r="B47" s="4" t="s">
        <v>16</v>
      </c>
      <c r="C47" s="5">
        <v>16</v>
      </c>
      <c r="D47" s="11">
        <v>61</v>
      </c>
      <c r="E47" s="5">
        <f t="shared" si="1"/>
        <v>0.90370370370370368</v>
      </c>
      <c r="F47" s="5">
        <v>77.11</v>
      </c>
      <c r="G47" s="5">
        <v>20393</v>
      </c>
      <c r="H47" s="5"/>
    </row>
    <row r="48" spans="1:8" ht="14.6" x14ac:dyDescent="0.4">
      <c r="A48" s="4" t="s">
        <v>15</v>
      </c>
      <c r="B48" s="4" t="s">
        <v>16</v>
      </c>
      <c r="C48" s="5">
        <v>17</v>
      </c>
      <c r="D48" s="5">
        <v>59.5</v>
      </c>
      <c r="E48" s="5">
        <f t="shared" si="1"/>
        <v>0.88148148148148153</v>
      </c>
      <c r="F48" s="5">
        <v>78.56</v>
      </c>
      <c r="G48" s="5">
        <v>20517</v>
      </c>
      <c r="H48" s="5"/>
    </row>
    <row r="49" spans="1:8" ht="14.6" x14ac:dyDescent="0.4">
      <c r="A49" s="4" t="s">
        <v>15</v>
      </c>
      <c r="B49" s="4" t="s">
        <v>16</v>
      </c>
      <c r="C49" s="5">
        <v>18</v>
      </c>
      <c r="D49" s="5" t="s">
        <v>53</v>
      </c>
      <c r="E49" s="5"/>
      <c r="F49" s="5">
        <v>77.52</v>
      </c>
      <c r="G49" s="5">
        <v>20223</v>
      </c>
      <c r="H49" s="5" t="s">
        <v>12</v>
      </c>
    </row>
    <row r="50" spans="1:8" ht="14.6" x14ac:dyDescent="0.4">
      <c r="A50" s="4" t="s">
        <v>15</v>
      </c>
      <c r="B50" s="4" t="s">
        <v>16</v>
      </c>
      <c r="C50" s="5">
        <v>19</v>
      </c>
      <c r="D50" s="11" t="s">
        <v>53</v>
      </c>
      <c r="E50" s="5"/>
      <c r="F50" s="5">
        <v>73.66</v>
      </c>
      <c r="G50" s="5">
        <v>20117</v>
      </c>
      <c r="H50" s="5" t="s">
        <v>12</v>
      </c>
    </row>
    <row r="51" spans="1:8" ht="14.6" x14ac:dyDescent="0.4">
      <c r="A51" s="4" t="s">
        <v>15</v>
      </c>
      <c r="B51" s="4" t="s">
        <v>16</v>
      </c>
      <c r="C51" s="5">
        <v>20</v>
      </c>
      <c r="D51" s="5" t="s">
        <v>53</v>
      </c>
      <c r="E51" s="5"/>
      <c r="F51" s="5">
        <v>73.48</v>
      </c>
      <c r="G51" s="5">
        <v>19902</v>
      </c>
      <c r="H51" s="5" t="s">
        <v>12</v>
      </c>
    </row>
    <row r="52" spans="1:8" ht="14.6" x14ac:dyDescent="0.4">
      <c r="A52" s="4" t="s">
        <v>15</v>
      </c>
      <c r="B52" s="4" t="s">
        <v>16</v>
      </c>
      <c r="C52" s="5">
        <v>21</v>
      </c>
      <c r="D52" s="5" t="s">
        <v>53</v>
      </c>
      <c r="E52" s="5"/>
      <c r="F52" s="5">
        <v>76.2</v>
      </c>
      <c r="G52" s="5">
        <v>20363</v>
      </c>
      <c r="H52" s="5" t="s">
        <v>12</v>
      </c>
    </row>
    <row r="53" spans="1:8" ht="14.6" x14ac:dyDescent="0.4">
      <c r="A53" s="4" t="s">
        <v>15</v>
      </c>
      <c r="B53" s="4" t="s">
        <v>16</v>
      </c>
      <c r="C53" s="5">
        <v>22</v>
      </c>
      <c r="D53" s="11">
        <v>52</v>
      </c>
      <c r="E53" s="5">
        <f t="shared" si="1"/>
        <v>0.77037037037037037</v>
      </c>
      <c r="F53" s="5">
        <v>80.790000000000006</v>
      </c>
      <c r="G53" s="5">
        <v>20928</v>
      </c>
      <c r="H53" s="5"/>
    </row>
    <row r="54" spans="1:8" ht="14.6" x14ac:dyDescent="0.4">
      <c r="A54" s="4" t="s">
        <v>15</v>
      </c>
      <c r="B54" s="4" t="s">
        <v>16</v>
      </c>
      <c r="C54" s="5">
        <v>23</v>
      </c>
      <c r="D54" s="5" t="s">
        <v>53</v>
      </c>
      <c r="E54" s="5"/>
      <c r="F54" s="5">
        <v>80.91</v>
      </c>
      <c r="G54" s="5">
        <v>20739</v>
      </c>
      <c r="H54" s="5" t="s">
        <v>12</v>
      </c>
    </row>
    <row r="55" spans="1:8" ht="14.6" x14ac:dyDescent="0.4">
      <c r="A55" s="4" t="s">
        <v>15</v>
      </c>
      <c r="B55" s="4" t="s">
        <v>16</v>
      </c>
      <c r="C55" s="5">
        <v>24</v>
      </c>
      <c r="D55" s="11">
        <v>59</v>
      </c>
      <c r="E55" s="5">
        <f t="shared" si="1"/>
        <v>0.87407407407407411</v>
      </c>
      <c r="F55" s="5">
        <v>65.569999999999993</v>
      </c>
      <c r="G55" s="5">
        <v>19417</v>
      </c>
      <c r="H55" s="5"/>
    </row>
    <row r="56" spans="1:8" ht="14.6" x14ac:dyDescent="0.4">
      <c r="A56" s="4" t="s">
        <v>15</v>
      </c>
      <c r="B56" s="4" t="s">
        <v>16</v>
      </c>
      <c r="C56" s="5">
        <v>25</v>
      </c>
      <c r="D56" s="11">
        <v>56.5</v>
      </c>
      <c r="E56" s="5">
        <f t="shared" si="1"/>
        <v>0.83703703703703702</v>
      </c>
      <c r="F56" s="5">
        <v>89.45</v>
      </c>
      <c r="G56" s="5">
        <v>21677</v>
      </c>
      <c r="H56" s="5"/>
    </row>
    <row r="57" spans="1:8" ht="14.6" x14ac:dyDescent="0.4">
      <c r="A57" s="4" t="s">
        <v>15</v>
      </c>
      <c r="B57" s="4" t="s">
        <v>16</v>
      </c>
      <c r="C57" s="5">
        <v>26</v>
      </c>
      <c r="D57" s="5" t="s">
        <v>53</v>
      </c>
      <c r="E57" s="5"/>
      <c r="F57" s="5">
        <v>99.8</v>
      </c>
      <c r="G57" s="5">
        <v>22498</v>
      </c>
      <c r="H57" s="5" t="s">
        <v>12</v>
      </c>
    </row>
    <row r="58" spans="1:8" ht="14.6" x14ac:dyDescent="0.4">
      <c r="A58" s="4" t="s">
        <v>15</v>
      </c>
      <c r="B58" s="4" t="s">
        <v>16</v>
      </c>
      <c r="C58" s="5">
        <v>27</v>
      </c>
      <c r="D58" s="5" t="s">
        <v>53</v>
      </c>
      <c r="E58" s="5"/>
      <c r="F58" s="5">
        <v>97.41</v>
      </c>
      <c r="G58" s="5">
        <v>22251</v>
      </c>
      <c r="H58" s="5" t="s">
        <v>12</v>
      </c>
    </row>
    <row r="59" spans="1:8" ht="14.6" x14ac:dyDescent="0.4">
      <c r="A59" s="4" t="s">
        <v>15</v>
      </c>
      <c r="B59" s="4" t="s">
        <v>16</v>
      </c>
      <c r="C59" s="5">
        <v>28</v>
      </c>
      <c r="D59" s="11" t="s">
        <v>53</v>
      </c>
      <c r="E59" s="5"/>
      <c r="F59" s="5">
        <v>94.37</v>
      </c>
      <c r="G59" s="5">
        <v>22245</v>
      </c>
      <c r="H59" s="5" t="s">
        <v>12</v>
      </c>
    </row>
    <row r="60" spans="1:8" ht="14.6" x14ac:dyDescent="0.4">
      <c r="A60" s="4" t="s">
        <v>15</v>
      </c>
      <c r="B60" s="4" t="s">
        <v>16</v>
      </c>
      <c r="C60" s="5">
        <v>29</v>
      </c>
      <c r="D60" s="5">
        <v>62.5</v>
      </c>
      <c r="E60" s="5">
        <f t="shared" si="1"/>
        <v>0.92592592592592593</v>
      </c>
      <c r="F60" s="5">
        <v>83.94</v>
      </c>
      <c r="G60" s="5">
        <v>21199</v>
      </c>
      <c r="H60" s="5"/>
    </row>
    <row r="61" spans="1:8" ht="14.6" x14ac:dyDescent="0.4">
      <c r="A61" s="4" t="s">
        <v>15</v>
      </c>
      <c r="B61" s="4" t="s">
        <v>16</v>
      </c>
      <c r="C61" s="5">
        <v>30</v>
      </c>
      <c r="D61" s="5" t="s">
        <v>53</v>
      </c>
      <c r="E61" s="5"/>
      <c r="F61" s="5">
        <v>83.36</v>
      </c>
      <c r="G61" s="5">
        <v>21051</v>
      </c>
      <c r="H61" s="5" t="s">
        <v>12</v>
      </c>
    </row>
    <row r="62" spans="1:8" ht="14.6" x14ac:dyDescent="0.4">
      <c r="A62" s="4" t="s">
        <v>17</v>
      </c>
      <c r="B62" s="4" t="s">
        <v>18</v>
      </c>
      <c r="C62" s="5">
        <v>1</v>
      </c>
      <c r="D62" s="11" t="s">
        <v>53</v>
      </c>
      <c r="E62" s="5"/>
      <c r="F62" s="5">
        <v>100.73</v>
      </c>
      <c r="G62" s="5">
        <v>23038</v>
      </c>
      <c r="H62" s="5" t="s">
        <v>12</v>
      </c>
    </row>
    <row r="63" spans="1:8" ht="14.6" x14ac:dyDescent="0.4">
      <c r="A63" s="4" t="s">
        <v>17</v>
      </c>
      <c r="B63" s="4" t="s">
        <v>18</v>
      </c>
      <c r="C63" s="5">
        <v>2</v>
      </c>
      <c r="D63" s="5" t="s">
        <v>53</v>
      </c>
      <c r="E63" s="5"/>
      <c r="F63" s="5">
        <v>132.83000000000001</v>
      </c>
      <c r="G63" s="5">
        <v>26087</v>
      </c>
      <c r="H63" s="5" t="s">
        <v>12</v>
      </c>
    </row>
    <row r="64" spans="1:8" ht="14.6" x14ac:dyDescent="0.4">
      <c r="A64" s="4" t="s">
        <v>17</v>
      </c>
      <c r="B64" s="4" t="s">
        <v>18</v>
      </c>
      <c r="C64" s="5">
        <v>3</v>
      </c>
      <c r="D64" s="11">
        <v>52.5</v>
      </c>
      <c r="E64" s="5">
        <f t="shared" ref="E64:E124" si="2">D64/60</f>
        <v>0.875</v>
      </c>
      <c r="F64" s="5">
        <v>75.98</v>
      </c>
      <c r="G64" s="5">
        <v>20628</v>
      </c>
      <c r="H64" s="5"/>
    </row>
    <row r="65" spans="1:8" ht="14.6" x14ac:dyDescent="0.4">
      <c r="A65" s="4" t="s">
        <v>17</v>
      </c>
      <c r="B65" s="4" t="s">
        <v>18</v>
      </c>
      <c r="C65" s="5">
        <v>4</v>
      </c>
      <c r="D65" s="11">
        <v>53</v>
      </c>
      <c r="E65" s="5">
        <f t="shared" si="2"/>
        <v>0.8833333333333333</v>
      </c>
      <c r="F65" s="5">
        <v>93.09</v>
      </c>
      <c r="G65" s="5">
        <v>22087</v>
      </c>
      <c r="H65" s="5"/>
    </row>
    <row r="66" spans="1:8" ht="14.6" x14ac:dyDescent="0.4">
      <c r="A66" s="4" t="s">
        <v>17</v>
      </c>
      <c r="B66" s="4" t="s">
        <v>18</v>
      </c>
      <c r="C66" s="5">
        <v>5</v>
      </c>
      <c r="D66" s="5" t="s">
        <v>53</v>
      </c>
      <c r="E66" s="5"/>
      <c r="F66" s="5">
        <v>75.650000000000006</v>
      </c>
      <c r="G66" s="5">
        <v>20692</v>
      </c>
      <c r="H66" s="5" t="s">
        <v>12</v>
      </c>
    </row>
    <row r="67" spans="1:8" ht="14.6" x14ac:dyDescent="0.4">
      <c r="A67" s="4" t="s">
        <v>17</v>
      </c>
      <c r="B67" s="4" t="s">
        <v>18</v>
      </c>
      <c r="C67" s="5">
        <v>6</v>
      </c>
      <c r="D67" s="5" t="s">
        <v>53</v>
      </c>
      <c r="E67" s="5"/>
      <c r="F67" s="5">
        <v>64.959999999999994</v>
      </c>
      <c r="G67" s="5">
        <v>19486</v>
      </c>
      <c r="H67" s="5" t="s">
        <v>12</v>
      </c>
    </row>
    <row r="68" spans="1:8" ht="14.6" x14ac:dyDescent="0.4">
      <c r="A68" s="4" t="s">
        <v>17</v>
      </c>
      <c r="B68" s="4" t="s">
        <v>18</v>
      </c>
      <c r="C68" s="5">
        <v>7</v>
      </c>
      <c r="D68" s="11" t="s">
        <v>53</v>
      </c>
      <c r="E68" s="5"/>
      <c r="F68" s="5">
        <v>78.52</v>
      </c>
      <c r="G68" s="5">
        <v>21334</v>
      </c>
      <c r="H68" s="5" t="s">
        <v>12</v>
      </c>
    </row>
    <row r="69" spans="1:8" ht="14.6" x14ac:dyDescent="0.4">
      <c r="A69" s="4" t="s">
        <v>17</v>
      </c>
      <c r="B69" s="4" t="s">
        <v>18</v>
      </c>
      <c r="C69" s="5">
        <v>8</v>
      </c>
      <c r="D69" s="5">
        <v>47</v>
      </c>
      <c r="E69" s="5">
        <f t="shared" si="2"/>
        <v>0.78333333333333333</v>
      </c>
      <c r="F69" s="5">
        <v>79.44</v>
      </c>
      <c r="G69" s="5">
        <v>21530</v>
      </c>
      <c r="H69" s="5"/>
    </row>
    <row r="70" spans="1:8" ht="14.6" x14ac:dyDescent="0.4">
      <c r="A70" s="4" t="s">
        <v>17</v>
      </c>
      <c r="B70" s="4" t="s">
        <v>18</v>
      </c>
      <c r="C70" s="5">
        <v>9</v>
      </c>
      <c r="D70" s="5" t="s">
        <v>53</v>
      </c>
      <c r="E70" s="5"/>
      <c r="F70" s="5">
        <v>61.51</v>
      </c>
      <c r="G70" s="5">
        <v>19337</v>
      </c>
      <c r="H70" s="5" t="s">
        <v>12</v>
      </c>
    </row>
    <row r="71" spans="1:8" ht="14.6" x14ac:dyDescent="0.4">
      <c r="A71" s="4" t="s">
        <v>17</v>
      </c>
      <c r="B71" s="4" t="s">
        <v>18</v>
      </c>
      <c r="C71" s="5">
        <v>10</v>
      </c>
      <c r="D71" s="11" t="s">
        <v>53</v>
      </c>
      <c r="E71" s="5"/>
      <c r="F71" s="5">
        <v>63.53</v>
      </c>
      <c r="G71" s="5">
        <v>19676</v>
      </c>
      <c r="H71" s="5" t="s">
        <v>12</v>
      </c>
    </row>
    <row r="72" spans="1:8" ht="14.6" x14ac:dyDescent="0.4">
      <c r="A72" s="4" t="s">
        <v>17</v>
      </c>
      <c r="B72" s="4" t="s">
        <v>18</v>
      </c>
      <c r="C72" s="5">
        <v>11</v>
      </c>
      <c r="D72" s="5" t="s">
        <v>53</v>
      </c>
      <c r="E72" s="5"/>
      <c r="F72" s="5">
        <v>93.42</v>
      </c>
      <c r="G72" s="5">
        <v>22966</v>
      </c>
      <c r="H72" s="5" t="s">
        <v>12</v>
      </c>
    </row>
    <row r="73" spans="1:8" ht="14.6" x14ac:dyDescent="0.4">
      <c r="A73" s="4" t="s">
        <v>17</v>
      </c>
      <c r="B73" s="4" t="s">
        <v>18</v>
      </c>
      <c r="C73" s="5">
        <v>12</v>
      </c>
      <c r="D73" s="5" t="s">
        <v>53</v>
      </c>
      <c r="E73" s="5"/>
      <c r="F73" s="5">
        <v>88.12</v>
      </c>
      <c r="G73" s="5">
        <v>22181</v>
      </c>
      <c r="H73" s="5" t="s">
        <v>12</v>
      </c>
    </row>
    <row r="74" spans="1:8" ht="14.6" x14ac:dyDescent="0.4">
      <c r="A74" s="4" t="s">
        <v>17</v>
      </c>
      <c r="B74" s="4" t="s">
        <v>18</v>
      </c>
      <c r="C74" s="5">
        <v>13</v>
      </c>
      <c r="D74" s="11">
        <v>47.5</v>
      </c>
      <c r="E74" s="5">
        <f t="shared" si="2"/>
        <v>0.79166666666666663</v>
      </c>
      <c r="F74" s="5">
        <v>60.47</v>
      </c>
      <c r="G74" s="5">
        <v>19024</v>
      </c>
      <c r="H74" s="5"/>
    </row>
    <row r="75" spans="1:8" ht="14.6" x14ac:dyDescent="0.4">
      <c r="A75" s="4" t="s">
        <v>17</v>
      </c>
      <c r="B75" s="4" t="s">
        <v>18</v>
      </c>
      <c r="C75" s="5">
        <v>14</v>
      </c>
      <c r="D75" s="5" t="s">
        <v>53</v>
      </c>
      <c r="E75" s="5"/>
      <c r="F75" s="5">
        <v>100.73</v>
      </c>
      <c r="G75" s="5">
        <v>23355</v>
      </c>
      <c r="H75" s="5" t="s">
        <v>12</v>
      </c>
    </row>
    <row r="76" spans="1:8" ht="14.6" x14ac:dyDescent="0.4">
      <c r="A76" s="4" t="s">
        <v>17</v>
      </c>
      <c r="B76" s="4" t="s">
        <v>18</v>
      </c>
      <c r="C76" s="5">
        <v>15</v>
      </c>
      <c r="D76" s="5">
        <v>54.5</v>
      </c>
      <c r="E76" s="5">
        <f t="shared" si="2"/>
        <v>0.90833333333333333</v>
      </c>
      <c r="F76" s="5">
        <v>81.75</v>
      </c>
      <c r="G76" s="5">
        <v>20947</v>
      </c>
      <c r="H76" s="5"/>
    </row>
    <row r="77" spans="1:8" ht="14.6" x14ac:dyDescent="0.4">
      <c r="A77" s="4" t="s">
        <v>17</v>
      </c>
      <c r="B77" s="4" t="s">
        <v>18</v>
      </c>
      <c r="C77" s="5">
        <v>16</v>
      </c>
      <c r="D77" s="11">
        <v>47</v>
      </c>
      <c r="E77" s="5">
        <f t="shared" si="2"/>
        <v>0.78333333333333333</v>
      </c>
      <c r="F77" s="5">
        <v>57.66</v>
      </c>
      <c r="G77" s="5">
        <v>18333</v>
      </c>
      <c r="H77" s="5"/>
    </row>
    <row r="78" spans="1:8" ht="14.6" x14ac:dyDescent="0.4">
      <c r="A78" s="4" t="s">
        <v>17</v>
      </c>
      <c r="B78" s="4" t="s">
        <v>18</v>
      </c>
      <c r="C78" s="5">
        <v>17</v>
      </c>
      <c r="D78" s="5" t="s">
        <v>53</v>
      </c>
      <c r="E78" s="5"/>
      <c r="F78" s="5">
        <v>75.25</v>
      </c>
      <c r="G78" s="5">
        <v>20198</v>
      </c>
      <c r="H78" s="5" t="s">
        <v>12</v>
      </c>
    </row>
    <row r="79" spans="1:8" ht="14.6" x14ac:dyDescent="0.4">
      <c r="A79" s="4" t="s">
        <v>17</v>
      </c>
      <c r="B79" s="4" t="s">
        <v>18</v>
      </c>
      <c r="C79" s="5">
        <v>18</v>
      </c>
      <c r="D79" s="5">
        <v>53</v>
      </c>
      <c r="E79" s="5">
        <f t="shared" si="2"/>
        <v>0.8833333333333333</v>
      </c>
      <c r="F79" s="5">
        <v>100.58</v>
      </c>
      <c r="G79" s="5">
        <v>22760</v>
      </c>
      <c r="H79" s="5"/>
    </row>
    <row r="80" spans="1:8" ht="14.6" x14ac:dyDescent="0.4">
      <c r="A80" s="4" t="s">
        <v>17</v>
      </c>
      <c r="B80" s="4" t="s">
        <v>18</v>
      </c>
      <c r="C80" s="5">
        <v>19</v>
      </c>
      <c r="D80" s="11">
        <v>41</v>
      </c>
      <c r="E80" s="5">
        <f t="shared" si="2"/>
        <v>0.68333333333333335</v>
      </c>
      <c r="F80" s="5">
        <v>82.49</v>
      </c>
      <c r="G80" s="5">
        <v>21417</v>
      </c>
      <c r="H80" s="5"/>
    </row>
    <row r="81" spans="1:8" ht="14.6" x14ac:dyDescent="0.4">
      <c r="A81" s="4" t="s">
        <v>17</v>
      </c>
      <c r="B81" s="4" t="s">
        <v>18</v>
      </c>
      <c r="C81" s="5">
        <v>20</v>
      </c>
      <c r="D81" s="5">
        <v>57</v>
      </c>
      <c r="E81" s="5">
        <f t="shared" si="2"/>
        <v>0.95</v>
      </c>
      <c r="F81" s="5">
        <v>74.099999999999994</v>
      </c>
      <c r="G81" s="5">
        <v>20402</v>
      </c>
      <c r="H81" s="5"/>
    </row>
    <row r="82" spans="1:8" ht="14.6" x14ac:dyDescent="0.4">
      <c r="A82" s="4" t="s">
        <v>17</v>
      </c>
      <c r="B82" s="4" t="s">
        <v>18</v>
      </c>
      <c r="C82" s="5">
        <v>21</v>
      </c>
      <c r="D82" s="5" t="s">
        <v>53</v>
      </c>
      <c r="E82" s="5"/>
      <c r="F82" s="5">
        <v>104.27</v>
      </c>
      <c r="G82" s="5">
        <v>24011</v>
      </c>
      <c r="H82" s="5" t="s">
        <v>12</v>
      </c>
    </row>
    <row r="83" spans="1:8" ht="14.6" x14ac:dyDescent="0.4">
      <c r="A83" s="4" t="s">
        <v>17</v>
      </c>
      <c r="B83" s="4" t="s">
        <v>18</v>
      </c>
      <c r="C83" s="5">
        <v>22</v>
      </c>
      <c r="D83" s="11">
        <v>45</v>
      </c>
      <c r="E83" s="5">
        <f t="shared" si="2"/>
        <v>0.75</v>
      </c>
      <c r="F83" s="5">
        <v>66.33</v>
      </c>
      <c r="G83" s="5">
        <v>19595</v>
      </c>
      <c r="H83" s="5"/>
    </row>
    <row r="84" spans="1:8" ht="14.6" x14ac:dyDescent="0.4">
      <c r="A84" s="4" t="s">
        <v>17</v>
      </c>
      <c r="B84" s="4" t="s">
        <v>18</v>
      </c>
      <c r="C84" s="5">
        <v>23</v>
      </c>
      <c r="D84" s="5" t="s">
        <v>53</v>
      </c>
      <c r="E84" s="5"/>
      <c r="F84" s="5">
        <v>71.56</v>
      </c>
      <c r="G84" s="5">
        <v>19982</v>
      </c>
      <c r="H84" s="5" t="s">
        <v>12</v>
      </c>
    </row>
    <row r="85" spans="1:8" ht="14.6" x14ac:dyDescent="0.4">
      <c r="A85" s="4" t="s">
        <v>17</v>
      </c>
      <c r="B85" s="4" t="s">
        <v>18</v>
      </c>
      <c r="C85" s="5">
        <v>24</v>
      </c>
      <c r="D85" s="5" t="s">
        <v>53</v>
      </c>
      <c r="E85" s="5"/>
      <c r="F85" s="5">
        <v>123.51</v>
      </c>
      <c r="G85" s="5">
        <v>25698</v>
      </c>
      <c r="H85" s="5" t="s">
        <v>12</v>
      </c>
    </row>
    <row r="86" spans="1:8" ht="14.6" x14ac:dyDescent="0.4">
      <c r="A86" s="4" t="s">
        <v>17</v>
      </c>
      <c r="B86" s="4" t="s">
        <v>18</v>
      </c>
      <c r="C86" s="5">
        <v>25</v>
      </c>
      <c r="D86" s="11">
        <v>45.5</v>
      </c>
      <c r="E86" s="5">
        <f t="shared" si="2"/>
        <v>0.7583333333333333</v>
      </c>
      <c r="F86" s="5">
        <v>104.42</v>
      </c>
      <c r="G86" s="5">
        <v>23553</v>
      </c>
      <c r="H86" s="5"/>
    </row>
    <row r="87" spans="1:8" ht="14.6" x14ac:dyDescent="0.4">
      <c r="A87" s="4" t="s">
        <v>17</v>
      </c>
      <c r="B87" s="4" t="s">
        <v>18</v>
      </c>
      <c r="C87" s="5">
        <v>26</v>
      </c>
      <c r="D87" s="5">
        <v>50.5</v>
      </c>
      <c r="E87" s="5">
        <f t="shared" si="2"/>
        <v>0.84166666666666667</v>
      </c>
      <c r="F87" s="5">
        <v>112.9</v>
      </c>
      <c r="G87" s="5">
        <v>24496</v>
      </c>
      <c r="H87" s="5"/>
    </row>
    <row r="88" spans="1:8" ht="14.6" x14ac:dyDescent="0.4">
      <c r="A88" s="4" t="s">
        <v>17</v>
      </c>
      <c r="B88" s="4" t="s">
        <v>18</v>
      </c>
      <c r="C88" s="5">
        <v>27</v>
      </c>
      <c r="D88" s="5" t="s">
        <v>53</v>
      </c>
      <c r="E88" s="5"/>
      <c r="F88" s="5">
        <v>80.400000000000006</v>
      </c>
      <c r="G88" s="5">
        <v>20805</v>
      </c>
      <c r="H88" s="5" t="s">
        <v>12</v>
      </c>
    </row>
    <row r="89" spans="1:8" ht="14.6" x14ac:dyDescent="0.4">
      <c r="A89" s="4" t="s">
        <v>17</v>
      </c>
      <c r="B89" s="4" t="s">
        <v>18</v>
      </c>
      <c r="C89" s="5">
        <v>28</v>
      </c>
      <c r="D89" s="11">
        <v>45.5</v>
      </c>
      <c r="E89" s="5">
        <f t="shared" si="2"/>
        <v>0.7583333333333333</v>
      </c>
      <c r="F89" s="5">
        <v>73.66</v>
      </c>
      <c r="G89" s="5">
        <v>19641</v>
      </c>
      <c r="H89" s="5"/>
    </row>
    <row r="90" spans="1:8" ht="14.6" x14ac:dyDescent="0.4">
      <c r="A90" s="4" t="s">
        <v>17</v>
      </c>
      <c r="B90" s="4" t="s">
        <v>18</v>
      </c>
      <c r="C90" s="5">
        <v>29</v>
      </c>
      <c r="D90" s="5">
        <v>49</v>
      </c>
      <c r="E90" s="5">
        <f t="shared" si="2"/>
        <v>0.81666666666666665</v>
      </c>
      <c r="F90" s="5">
        <v>82.19</v>
      </c>
      <c r="G90" s="5">
        <v>21157</v>
      </c>
      <c r="H90" s="5"/>
    </row>
    <row r="91" spans="1:8" ht="14.6" x14ac:dyDescent="0.4">
      <c r="A91" s="4" t="s">
        <v>17</v>
      </c>
      <c r="B91" s="4" t="s">
        <v>18</v>
      </c>
      <c r="C91" s="5">
        <v>30</v>
      </c>
      <c r="D91" s="5">
        <v>56.5</v>
      </c>
      <c r="E91" s="5">
        <f t="shared" si="2"/>
        <v>0.94166666666666665</v>
      </c>
      <c r="F91" s="5">
        <v>138</v>
      </c>
      <c r="G91" s="5">
        <v>26691</v>
      </c>
      <c r="H91" s="5"/>
    </row>
    <row r="92" spans="1:8" ht="14.6" x14ac:dyDescent="0.4">
      <c r="A92" s="4" t="s">
        <v>19</v>
      </c>
      <c r="B92" s="4" t="s">
        <v>20</v>
      </c>
      <c r="C92" s="5">
        <v>1</v>
      </c>
      <c r="D92" s="11">
        <v>53</v>
      </c>
      <c r="E92" s="5">
        <f>D92/70</f>
        <v>0.75714285714285712</v>
      </c>
      <c r="F92" s="5">
        <v>94.04</v>
      </c>
      <c r="G92" s="5">
        <v>22319</v>
      </c>
      <c r="H92" s="5"/>
    </row>
    <row r="93" spans="1:8" ht="14.6" x14ac:dyDescent="0.4">
      <c r="A93" s="4" t="s">
        <v>19</v>
      </c>
      <c r="B93" s="4" t="s">
        <v>20</v>
      </c>
      <c r="C93" s="5">
        <v>2</v>
      </c>
      <c r="D93" s="5">
        <v>58</v>
      </c>
      <c r="E93" s="5">
        <f t="shared" ref="E93:E121" si="3">D93/70</f>
        <v>0.82857142857142863</v>
      </c>
      <c r="F93" s="5">
        <v>73.180000000000007</v>
      </c>
      <c r="G93" s="5">
        <v>20085</v>
      </c>
      <c r="H93" s="5"/>
    </row>
    <row r="94" spans="1:8" ht="14.6" x14ac:dyDescent="0.4">
      <c r="A94" s="4" t="s">
        <v>19</v>
      </c>
      <c r="B94" s="4" t="s">
        <v>20</v>
      </c>
      <c r="C94" s="5">
        <v>3</v>
      </c>
      <c r="D94" s="5" t="s">
        <v>53</v>
      </c>
      <c r="E94" s="5"/>
      <c r="F94" s="5">
        <v>75.430000000000007</v>
      </c>
      <c r="G94" s="5">
        <v>20181</v>
      </c>
      <c r="H94" s="5" t="s">
        <v>12</v>
      </c>
    </row>
    <row r="95" spans="1:8" ht="14.6" x14ac:dyDescent="0.4">
      <c r="A95" s="4" t="s">
        <v>19</v>
      </c>
      <c r="B95" s="4" t="s">
        <v>20</v>
      </c>
      <c r="C95" s="5">
        <v>4</v>
      </c>
      <c r="D95" s="11" t="s">
        <v>53</v>
      </c>
      <c r="E95" s="5"/>
      <c r="F95" s="5">
        <v>68.75</v>
      </c>
      <c r="G95" s="5">
        <v>19381</v>
      </c>
      <c r="H95" s="5" t="s">
        <v>12</v>
      </c>
    </row>
    <row r="96" spans="1:8" ht="14.6" x14ac:dyDescent="0.4">
      <c r="A96" s="4" t="s">
        <v>19</v>
      </c>
      <c r="B96" s="4" t="s">
        <v>20</v>
      </c>
      <c r="C96" s="5">
        <v>5</v>
      </c>
      <c r="D96" s="5">
        <v>50</v>
      </c>
      <c r="E96" s="5">
        <f t="shared" si="3"/>
        <v>0.7142857142857143</v>
      </c>
      <c r="F96" s="5">
        <v>80.16</v>
      </c>
      <c r="G96" s="5">
        <v>21087</v>
      </c>
      <c r="H96" s="5"/>
    </row>
    <row r="97" spans="1:8" ht="14.6" x14ac:dyDescent="0.4">
      <c r="A97" s="4" t="s">
        <v>19</v>
      </c>
      <c r="B97" s="4" t="s">
        <v>20</v>
      </c>
      <c r="C97" s="5">
        <v>6</v>
      </c>
      <c r="D97" s="5" t="s">
        <v>53</v>
      </c>
      <c r="E97" s="5"/>
      <c r="F97" s="5">
        <v>73.09</v>
      </c>
      <c r="G97" s="5">
        <v>19440</v>
      </c>
      <c r="H97" s="5" t="s">
        <v>12</v>
      </c>
    </row>
    <row r="98" spans="1:8" ht="14.6" x14ac:dyDescent="0.4">
      <c r="A98" s="4" t="s">
        <v>19</v>
      </c>
      <c r="B98" s="4" t="s">
        <v>20</v>
      </c>
      <c r="C98" s="5">
        <v>7</v>
      </c>
      <c r="D98" s="11">
        <v>57.5</v>
      </c>
      <c r="E98" s="5">
        <f t="shared" si="3"/>
        <v>0.8214285714285714</v>
      </c>
      <c r="F98" s="5">
        <v>70.09</v>
      </c>
      <c r="G98" s="5">
        <v>19802</v>
      </c>
      <c r="H98" s="5"/>
    </row>
    <row r="99" spans="1:8" ht="14.6" x14ac:dyDescent="0.4">
      <c r="A99" s="4" t="s">
        <v>19</v>
      </c>
      <c r="B99" s="4" t="s">
        <v>20</v>
      </c>
      <c r="C99" s="5">
        <v>8</v>
      </c>
      <c r="D99" s="5">
        <v>54.5</v>
      </c>
      <c r="E99" s="5">
        <f t="shared" si="3"/>
        <v>0.77857142857142858</v>
      </c>
      <c r="F99" s="5">
        <v>93.45</v>
      </c>
      <c r="G99" s="5">
        <v>21316</v>
      </c>
      <c r="H99" s="5"/>
    </row>
    <row r="100" spans="1:8" ht="14.6" x14ac:dyDescent="0.4">
      <c r="A100" s="4" t="s">
        <v>19</v>
      </c>
      <c r="B100" s="4" t="s">
        <v>20</v>
      </c>
      <c r="C100" s="5">
        <v>9</v>
      </c>
      <c r="D100" s="5" t="s">
        <v>53</v>
      </c>
      <c r="E100" s="5"/>
      <c r="F100" s="5">
        <v>75.36</v>
      </c>
      <c r="G100" s="5">
        <v>19474</v>
      </c>
      <c r="H100" s="5" t="s">
        <v>12</v>
      </c>
    </row>
    <row r="101" spans="1:8" ht="14.6" x14ac:dyDescent="0.4">
      <c r="A101" s="4" t="s">
        <v>19</v>
      </c>
      <c r="B101" s="4" t="s">
        <v>20</v>
      </c>
      <c r="C101" s="5">
        <v>10</v>
      </c>
      <c r="D101" s="11" t="s">
        <v>53</v>
      </c>
      <c r="E101" s="5"/>
      <c r="F101" s="5">
        <v>85.63</v>
      </c>
      <c r="G101" s="5">
        <v>21588</v>
      </c>
      <c r="H101" s="5" t="s">
        <v>12</v>
      </c>
    </row>
    <row r="102" spans="1:8" ht="14.6" x14ac:dyDescent="0.4">
      <c r="A102" s="4" t="s">
        <v>19</v>
      </c>
      <c r="B102" s="4" t="s">
        <v>20</v>
      </c>
      <c r="C102" s="5">
        <v>11</v>
      </c>
      <c r="D102" s="5">
        <v>60.5</v>
      </c>
      <c r="E102" s="5">
        <f t="shared" si="3"/>
        <v>0.86428571428571432</v>
      </c>
      <c r="F102" s="5">
        <v>73.91</v>
      </c>
      <c r="G102" s="5">
        <v>20299</v>
      </c>
      <c r="H102" s="5"/>
    </row>
    <row r="103" spans="1:8" ht="14.6" x14ac:dyDescent="0.4">
      <c r="A103" s="4" t="s">
        <v>19</v>
      </c>
      <c r="B103" s="4" t="s">
        <v>20</v>
      </c>
      <c r="C103" s="5">
        <v>12</v>
      </c>
      <c r="D103" s="5">
        <v>62.5</v>
      </c>
      <c r="E103" s="5">
        <f t="shared" si="3"/>
        <v>0.8928571428571429</v>
      </c>
      <c r="F103" s="5">
        <v>72.760000000000005</v>
      </c>
      <c r="G103" s="5">
        <v>20194</v>
      </c>
      <c r="H103" s="5"/>
    </row>
    <row r="104" spans="1:8" ht="14.6" x14ac:dyDescent="0.4">
      <c r="A104" s="4" t="s">
        <v>19</v>
      </c>
      <c r="B104" s="4" t="s">
        <v>20</v>
      </c>
      <c r="C104" s="5">
        <v>13</v>
      </c>
      <c r="D104" s="11" t="s">
        <v>53</v>
      </c>
      <c r="E104" s="5"/>
      <c r="F104" s="5">
        <v>89.99</v>
      </c>
      <c r="G104" s="5">
        <v>22214</v>
      </c>
      <c r="H104" s="5" t="s">
        <v>12</v>
      </c>
    </row>
    <row r="105" spans="1:8" ht="14.6" x14ac:dyDescent="0.4">
      <c r="A105" s="4" t="s">
        <v>19</v>
      </c>
      <c r="B105" s="4" t="s">
        <v>20</v>
      </c>
      <c r="C105" s="5">
        <v>14</v>
      </c>
      <c r="D105" s="11">
        <v>53.5</v>
      </c>
      <c r="E105" s="5">
        <f t="shared" si="3"/>
        <v>0.76428571428571423</v>
      </c>
      <c r="F105" s="5">
        <v>86.28</v>
      </c>
      <c r="G105" s="5">
        <v>21000</v>
      </c>
      <c r="H105" s="5"/>
    </row>
    <row r="106" spans="1:8" ht="14.6" x14ac:dyDescent="0.4">
      <c r="A106" s="4" t="s">
        <v>19</v>
      </c>
      <c r="B106" s="4" t="s">
        <v>20</v>
      </c>
      <c r="C106" s="5">
        <v>15</v>
      </c>
      <c r="D106" s="5" t="s">
        <v>53</v>
      </c>
      <c r="E106" s="5"/>
      <c r="F106" s="5">
        <v>73.17</v>
      </c>
      <c r="G106" s="5">
        <v>19603</v>
      </c>
      <c r="H106" s="5" t="s">
        <v>12</v>
      </c>
    </row>
    <row r="107" spans="1:8" ht="14.6" x14ac:dyDescent="0.4">
      <c r="A107" s="4" t="s">
        <v>19</v>
      </c>
      <c r="B107" s="4" t="s">
        <v>20</v>
      </c>
      <c r="C107" s="5">
        <v>16</v>
      </c>
      <c r="D107" s="11">
        <v>57</v>
      </c>
      <c r="E107" s="5">
        <f t="shared" si="3"/>
        <v>0.81428571428571428</v>
      </c>
      <c r="F107" s="5">
        <v>67.19</v>
      </c>
      <c r="G107" s="5">
        <v>19149</v>
      </c>
      <c r="H107" s="5"/>
    </row>
    <row r="108" spans="1:8" ht="14.6" x14ac:dyDescent="0.4">
      <c r="A108" s="4" t="s">
        <v>19</v>
      </c>
      <c r="B108" s="4" t="s">
        <v>20</v>
      </c>
      <c r="C108" s="5">
        <v>17</v>
      </c>
      <c r="D108" s="5" t="s">
        <v>53</v>
      </c>
      <c r="E108" s="5"/>
      <c r="F108" s="5">
        <v>68.209999999999994</v>
      </c>
      <c r="G108" s="5">
        <v>19314</v>
      </c>
      <c r="H108" s="5" t="s">
        <v>12</v>
      </c>
    </row>
    <row r="109" spans="1:8" ht="14.6" x14ac:dyDescent="0.4">
      <c r="A109" s="4" t="s">
        <v>19</v>
      </c>
      <c r="B109" s="4" t="s">
        <v>20</v>
      </c>
      <c r="C109" s="5">
        <v>18</v>
      </c>
      <c r="D109" s="5">
        <v>61.5</v>
      </c>
      <c r="E109" s="5">
        <f t="shared" si="3"/>
        <v>0.87857142857142856</v>
      </c>
      <c r="F109" s="5">
        <v>70.709999999999994</v>
      </c>
      <c r="G109" s="5">
        <v>19562</v>
      </c>
      <c r="H109" s="5"/>
    </row>
    <row r="110" spans="1:8" ht="14.6" x14ac:dyDescent="0.4">
      <c r="A110" s="4" t="s">
        <v>19</v>
      </c>
      <c r="B110" s="4" t="s">
        <v>20</v>
      </c>
      <c r="C110" s="5">
        <v>19</v>
      </c>
      <c r="D110" s="11" t="s">
        <v>53</v>
      </c>
      <c r="E110" s="5"/>
      <c r="F110" s="5">
        <v>78.260000000000005</v>
      </c>
      <c r="G110" s="5">
        <v>20446</v>
      </c>
      <c r="H110" s="5" t="s">
        <v>12</v>
      </c>
    </row>
    <row r="111" spans="1:8" ht="14.6" x14ac:dyDescent="0.4">
      <c r="A111" s="4" t="s">
        <v>19</v>
      </c>
      <c r="B111" s="4" t="s">
        <v>20</v>
      </c>
      <c r="C111" s="5">
        <v>20</v>
      </c>
      <c r="D111" s="11">
        <v>59</v>
      </c>
      <c r="E111" s="5">
        <f t="shared" si="3"/>
        <v>0.84285714285714286</v>
      </c>
      <c r="F111" s="5">
        <v>71.790000000000006</v>
      </c>
      <c r="G111" s="5">
        <v>19530</v>
      </c>
      <c r="H111" s="5"/>
    </row>
    <row r="112" spans="1:8" ht="14.6" x14ac:dyDescent="0.4">
      <c r="A112" s="4" t="s">
        <v>19</v>
      </c>
      <c r="B112" s="4" t="s">
        <v>20</v>
      </c>
      <c r="C112" s="5">
        <v>21</v>
      </c>
      <c r="D112" s="5" t="s">
        <v>53</v>
      </c>
      <c r="E112" s="5"/>
      <c r="F112" s="5">
        <v>70.5</v>
      </c>
      <c r="G112" s="5">
        <v>19127</v>
      </c>
      <c r="H112" s="5" t="s">
        <v>12</v>
      </c>
    </row>
    <row r="113" spans="1:8" ht="14.6" x14ac:dyDescent="0.4">
      <c r="A113" s="4" t="s">
        <v>19</v>
      </c>
      <c r="B113" s="4" t="s">
        <v>20</v>
      </c>
      <c r="C113" s="5">
        <v>22</v>
      </c>
      <c r="D113" s="11" t="s">
        <v>53</v>
      </c>
      <c r="E113" s="5"/>
      <c r="F113" s="5">
        <v>75.48</v>
      </c>
      <c r="G113" s="5">
        <v>19430</v>
      </c>
      <c r="H113" s="5" t="s">
        <v>12</v>
      </c>
    </row>
    <row r="114" spans="1:8" ht="14.6" x14ac:dyDescent="0.4">
      <c r="A114" s="4" t="s">
        <v>19</v>
      </c>
      <c r="B114" s="4" t="s">
        <v>20</v>
      </c>
      <c r="C114" s="5">
        <v>23</v>
      </c>
      <c r="D114" s="11">
        <v>61.5</v>
      </c>
      <c r="E114" s="5">
        <f t="shared" si="3"/>
        <v>0.87857142857142856</v>
      </c>
      <c r="F114" s="5">
        <v>76.010000000000005</v>
      </c>
      <c r="G114" s="5">
        <v>20013</v>
      </c>
      <c r="H114" s="5"/>
    </row>
    <row r="115" spans="1:8" ht="14.6" x14ac:dyDescent="0.4">
      <c r="A115" s="4" t="s">
        <v>19</v>
      </c>
      <c r="B115" s="4" t="s">
        <v>20</v>
      </c>
      <c r="C115" s="5">
        <v>24</v>
      </c>
      <c r="D115" s="5">
        <v>56.5</v>
      </c>
      <c r="E115" s="5">
        <f t="shared" si="3"/>
        <v>0.80714285714285716</v>
      </c>
      <c r="F115" s="5">
        <v>81.27</v>
      </c>
      <c r="G115" s="5">
        <v>20159</v>
      </c>
      <c r="H115" s="5"/>
    </row>
    <row r="116" spans="1:8" ht="14.6" x14ac:dyDescent="0.4">
      <c r="A116" s="4" t="s">
        <v>19</v>
      </c>
      <c r="B116" s="4" t="s">
        <v>20</v>
      </c>
      <c r="C116" s="5">
        <v>25</v>
      </c>
      <c r="D116" s="11">
        <v>62</v>
      </c>
      <c r="E116" s="5">
        <f t="shared" si="3"/>
        <v>0.88571428571428568</v>
      </c>
      <c r="F116" s="5">
        <v>76</v>
      </c>
      <c r="G116" s="5">
        <v>20076</v>
      </c>
      <c r="H116" s="5"/>
    </row>
    <row r="117" spans="1:8" ht="14.6" x14ac:dyDescent="0.4">
      <c r="A117" s="4" t="s">
        <v>19</v>
      </c>
      <c r="B117" s="4" t="s">
        <v>20</v>
      </c>
      <c r="C117" s="5">
        <v>26</v>
      </c>
      <c r="D117" s="5" t="s">
        <v>53</v>
      </c>
      <c r="E117" s="5"/>
      <c r="F117" s="5">
        <v>69.55</v>
      </c>
      <c r="G117" s="5">
        <v>19568</v>
      </c>
      <c r="H117" s="5" t="s">
        <v>12</v>
      </c>
    </row>
    <row r="118" spans="1:8" ht="14.6" x14ac:dyDescent="0.4">
      <c r="A118" s="4" t="s">
        <v>19</v>
      </c>
      <c r="B118" s="4" t="s">
        <v>20</v>
      </c>
      <c r="C118" s="5">
        <v>27</v>
      </c>
      <c r="D118" s="5" t="s">
        <v>53</v>
      </c>
      <c r="E118" s="5"/>
      <c r="F118" s="5">
        <v>70.94</v>
      </c>
      <c r="G118" s="5">
        <v>19736</v>
      </c>
      <c r="H118" s="5" t="s">
        <v>12</v>
      </c>
    </row>
    <row r="119" spans="1:8" ht="14.6" x14ac:dyDescent="0.4">
      <c r="A119" s="4" t="s">
        <v>19</v>
      </c>
      <c r="B119" s="4" t="s">
        <v>20</v>
      </c>
      <c r="C119" s="5">
        <v>28</v>
      </c>
      <c r="D119" s="11" t="s">
        <v>53</v>
      </c>
      <c r="E119" s="5"/>
      <c r="F119" s="5">
        <v>68.08</v>
      </c>
      <c r="G119" s="5">
        <v>19303</v>
      </c>
      <c r="H119" s="5" t="s">
        <v>12</v>
      </c>
    </row>
    <row r="120" spans="1:8" ht="14.6" x14ac:dyDescent="0.4">
      <c r="A120" s="4" t="s">
        <v>19</v>
      </c>
      <c r="B120" s="4" t="s">
        <v>20</v>
      </c>
      <c r="C120" s="5">
        <v>29</v>
      </c>
      <c r="D120" s="5" t="s">
        <v>53</v>
      </c>
      <c r="E120" s="5"/>
      <c r="F120" s="5">
        <v>76</v>
      </c>
      <c r="G120" s="5">
        <v>20137</v>
      </c>
      <c r="H120" s="5" t="s">
        <v>12</v>
      </c>
    </row>
    <row r="121" spans="1:8" ht="14.6" x14ac:dyDescent="0.4">
      <c r="A121" s="4" t="s">
        <v>19</v>
      </c>
      <c r="B121" s="4" t="s">
        <v>20</v>
      </c>
      <c r="C121" s="5">
        <v>30</v>
      </c>
      <c r="D121" s="5">
        <v>64</v>
      </c>
      <c r="E121" s="5">
        <f t="shared" si="3"/>
        <v>0.91428571428571426</v>
      </c>
      <c r="F121" s="5">
        <v>86.65</v>
      </c>
      <c r="G121" s="5">
        <v>21085</v>
      </c>
      <c r="H121" s="5"/>
    </row>
    <row r="122" spans="1:8" ht="14.6" x14ac:dyDescent="0.4">
      <c r="A122" s="4" t="s">
        <v>21</v>
      </c>
      <c r="B122" s="4" t="s">
        <v>22</v>
      </c>
      <c r="C122" s="5">
        <v>1</v>
      </c>
      <c r="D122" s="11" t="s">
        <v>53</v>
      </c>
      <c r="E122" s="5"/>
      <c r="F122" s="5">
        <v>72.81</v>
      </c>
      <c r="G122" s="5">
        <v>20194</v>
      </c>
      <c r="H122" s="5" t="s">
        <v>12</v>
      </c>
    </row>
    <row r="123" spans="1:8" ht="14.6" x14ac:dyDescent="0.4">
      <c r="A123" s="4" t="s">
        <v>21</v>
      </c>
      <c r="B123" s="4" t="s">
        <v>22</v>
      </c>
      <c r="C123" s="5">
        <v>2</v>
      </c>
      <c r="D123" s="11">
        <v>56.5</v>
      </c>
      <c r="E123" s="5">
        <f t="shared" si="2"/>
        <v>0.94166666666666665</v>
      </c>
      <c r="F123" s="5">
        <v>74.209999999999994</v>
      </c>
      <c r="G123" s="5">
        <v>19692</v>
      </c>
      <c r="H123" s="5"/>
    </row>
    <row r="124" spans="1:8" ht="14.6" x14ac:dyDescent="0.4">
      <c r="A124" s="4" t="s">
        <v>21</v>
      </c>
      <c r="B124" s="4" t="s">
        <v>22</v>
      </c>
      <c r="C124" s="5">
        <v>3</v>
      </c>
      <c r="D124" s="5">
        <v>57</v>
      </c>
      <c r="E124" s="5">
        <f t="shared" si="2"/>
        <v>0.95</v>
      </c>
      <c r="F124" s="5">
        <v>54.93</v>
      </c>
      <c r="G124" s="5">
        <v>18126</v>
      </c>
      <c r="H124" s="5"/>
    </row>
    <row r="125" spans="1:8" ht="14.6" x14ac:dyDescent="0.4">
      <c r="A125" s="4" t="s">
        <v>21</v>
      </c>
      <c r="B125" s="4" t="s">
        <v>22</v>
      </c>
      <c r="C125" s="5">
        <v>4</v>
      </c>
      <c r="D125" s="11" t="s">
        <v>53</v>
      </c>
      <c r="E125" s="5"/>
      <c r="F125" s="5">
        <v>69.239999999999995</v>
      </c>
      <c r="G125" s="5">
        <v>19773</v>
      </c>
      <c r="H125" s="5" t="s">
        <v>12</v>
      </c>
    </row>
    <row r="126" spans="1:8" ht="14.6" x14ac:dyDescent="0.4">
      <c r="A126" s="4" t="s">
        <v>21</v>
      </c>
      <c r="B126" s="4" t="s">
        <v>22</v>
      </c>
      <c r="C126" s="5">
        <v>5</v>
      </c>
      <c r="D126" s="5" t="s">
        <v>53</v>
      </c>
      <c r="E126" s="5"/>
      <c r="F126" s="5">
        <v>72.64</v>
      </c>
      <c r="G126" s="5">
        <v>20120</v>
      </c>
      <c r="H126" s="5" t="s">
        <v>12</v>
      </c>
    </row>
    <row r="127" spans="1:8" ht="14.6" x14ac:dyDescent="0.4">
      <c r="A127" s="4" t="s">
        <v>21</v>
      </c>
      <c r="B127" s="4" t="s">
        <v>22</v>
      </c>
      <c r="C127" s="5">
        <v>6</v>
      </c>
      <c r="D127" s="5">
        <v>57.5</v>
      </c>
      <c r="E127" s="5">
        <f t="shared" ref="E127:E150" si="4">D127/60</f>
        <v>0.95833333333333337</v>
      </c>
      <c r="F127" s="5">
        <v>66.05</v>
      </c>
      <c r="G127" s="5">
        <v>18159</v>
      </c>
      <c r="H127" s="5"/>
    </row>
    <row r="128" spans="1:8" ht="14.6" x14ac:dyDescent="0.4">
      <c r="A128" s="4" t="s">
        <v>21</v>
      </c>
      <c r="B128" s="4" t="s">
        <v>22</v>
      </c>
      <c r="C128" s="5">
        <v>7</v>
      </c>
      <c r="D128" s="11">
        <v>56</v>
      </c>
      <c r="E128" s="5">
        <f t="shared" si="4"/>
        <v>0.93333333333333335</v>
      </c>
      <c r="F128" s="5">
        <v>74.28</v>
      </c>
      <c r="G128" s="5">
        <v>20314</v>
      </c>
      <c r="H128" s="5"/>
    </row>
    <row r="129" spans="1:8" ht="14.6" x14ac:dyDescent="0.4">
      <c r="A129" s="4" t="s">
        <v>21</v>
      </c>
      <c r="B129" s="4" t="s">
        <v>22</v>
      </c>
      <c r="C129" s="5">
        <v>8</v>
      </c>
      <c r="D129" s="5" t="s">
        <v>53</v>
      </c>
      <c r="E129" s="5"/>
      <c r="F129" s="5">
        <v>57.32</v>
      </c>
      <c r="G129" s="5">
        <v>18345</v>
      </c>
      <c r="H129" s="5" t="s">
        <v>12</v>
      </c>
    </row>
    <row r="130" spans="1:8" ht="14.6" x14ac:dyDescent="0.4">
      <c r="A130" s="4" t="s">
        <v>21</v>
      </c>
      <c r="B130" s="4" t="s">
        <v>22</v>
      </c>
      <c r="C130" s="5">
        <v>9</v>
      </c>
      <c r="D130" s="5" t="s">
        <v>53</v>
      </c>
      <c r="E130" s="5"/>
      <c r="F130" s="5">
        <v>73.64</v>
      </c>
      <c r="G130" s="5">
        <v>20315</v>
      </c>
      <c r="H130" s="5" t="s">
        <v>12</v>
      </c>
    </row>
    <row r="131" spans="1:8" ht="14.6" x14ac:dyDescent="0.4">
      <c r="A131" s="4" t="s">
        <v>21</v>
      </c>
      <c r="B131" s="4" t="s">
        <v>22</v>
      </c>
      <c r="C131" s="5">
        <v>10</v>
      </c>
      <c r="D131" s="11" t="s">
        <v>53</v>
      </c>
      <c r="E131" s="5"/>
      <c r="F131" s="5">
        <v>66.099999999999994</v>
      </c>
      <c r="G131" s="5">
        <v>19326</v>
      </c>
      <c r="H131" s="5" t="s">
        <v>12</v>
      </c>
    </row>
    <row r="132" spans="1:8" ht="14.6" x14ac:dyDescent="0.4">
      <c r="A132" s="4" t="s">
        <v>21</v>
      </c>
      <c r="B132" s="4" t="s">
        <v>22</v>
      </c>
      <c r="C132" s="5">
        <v>11</v>
      </c>
      <c r="D132" s="5" t="s">
        <v>53</v>
      </c>
      <c r="E132" s="5"/>
      <c r="F132" s="5">
        <v>76.849999999999994</v>
      </c>
      <c r="G132" s="5">
        <v>20576</v>
      </c>
      <c r="H132" s="5" t="s">
        <v>12</v>
      </c>
    </row>
    <row r="133" spans="1:8" ht="14.6" x14ac:dyDescent="0.4">
      <c r="A133" s="4" t="s">
        <v>21</v>
      </c>
      <c r="B133" s="4" t="s">
        <v>22</v>
      </c>
      <c r="C133" s="5">
        <v>12</v>
      </c>
      <c r="D133" s="5" t="s">
        <v>53</v>
      </c>
      <c r="E133" s="5"/>
      <c r="F133" s="5">
        <v>80.150000000000006</v>
      </c>
      <c r="G133" s="5">
        <v>20220</v>
      </c>
      <c r="H133" s="5" t="s">
        <v>12</v>
      </c>
    </row>
    <row r="134" spans="1:8" ht="14.6" x14ac:dyDescent="0.4">
      <c r="A134" s="4" t="s">
        <v>21</v>
      </c>
      <c r="B134" s="4" t="s">
        <v>22</v>
      </c>
      <c r="C134" s="5">
        <v>13</v>
      </c>
      <c r="D134" s="11" t="s">
        <v>53</v>
      </c>
      <c r="E134" s="5"/>
      <c r="F134" s="5">
        <v>57.15</v>
      </c>
      <c r="G134" s="5">
        <v>18317</v>
      </c>
      <c r="H134" s="5" t="s">
        <v>12</v>
      </c>
    </row>
    <row r="135" spans="1:8" ht="14.6" x14ac:dyDescent="0.4">
      <c r="A135" s="4" t="s">
        <v>21</v>
      </c>
      <c r="B135" s="4" t="s">
        <v>22</v>
      </c>
      <c r="C135" s="5">
        <v>14</v>
      </c>
      <c r="D135" s="5" t="s">
        <v>53</v>
      </c>
      <c r="E135" s="5"/>
      <c r="F135" s="5">
        <v>75.2</v>
      </c>
      <c r="G135" s="5">
        <v>20349</v>
      </c>
      <c r="H135" s="5" t="s">
        <v>12</v>
      </c>
    </row>
    <row r="136" spans="1:8" ht="14.6" x14ac:dyDescent="0.4">
      <c r="A136" s="4" t="s">
        <v>21</v>
      </c>
      <c r="B136" s="4" t="s">
        <v>22</v>
      </c>
      <c r="C136" s="5">
        <v>15</v>
      </c>
      <c r="D136" s="5" t="s">
        <v>53</v>
      </c>
      <c r="E136" s="5"/>
      <c r="F136" s="5">
        <v>75.39</v>
      </c>
      <c r="G136" s="5">
        <v>20453</v>
      </c>
      <c r="H136" s="5" t="s">
        <v>12</v>
      </c>
    </row>
    <row r="137" spans="1:8" ht="14.6" x14ac:dyDescent="0.4">
      <c r="A137" s="4" t="s">
        <v>21</v>
      </c>
      <c r="B137" s="4" t="s">
        <v>22</v>
      </c>
      <c r="C137" s="5">
        <v>16</v>
      </c>
      <c r="D137" s="11">
        <v>54.5</v>
      </c>
      <c r="E137" s="5">
        <f t="shared" si="4"/>
        <v>0.90833333333333333</v>
      </c>
      <c r="F137" s="5">
        <v>54.96</v>
      </c>
      <c r="G137" s="5">
        <v>18057</v>
      </c>
      <c r="H137" s="5"/>
    </row>
    <row r="138" spans="1:8" ht="14.6" x14ac:dyDescent="0.4">
      <c r="A138" s="4" t="s">
        <v>21</v>
      </c>
      <c r="B138" s="4" t="s">
        <v>22</v>
      </c>
      <c r="C138" s="5">
        <v>17</v>
      </c>
      <c r="D138" s="5" t="s">
        <v>53</v>
      </c>
      <c r="E138" s="5"/>
      <c r="F138" s="5">
        <v>70.56</v>
      </c>
      <c r="G138" s="5">
        <v>19727</v>
      </c>
      <c r="H138" s="5" t="s">
        <v>12</v>
      </c>
    </row>
    <row r="139" spans="1:8" ht="14.6" x14ac:dyDescent="0.4">
      <c r="A139" s="4" t="s">
        <v>21</v>
      </c>
      <c r="B139" s="4" t="s">
        <v>22</v>
      </c>
      <c r="C139" s="5">
        <v>18</v>
      </c>
      <c r="D139" s="5" t="s">
        <v>53</v>
      </c>
      <c r="E139" s="5"/>
      <c r="F139" s="5">
        <v>56.2</v>
      </c>
      <c r="G139" s="5">
        <v>17989</v>
      </c>
      <c r="H139" s="5" t="s">
        <v>12</v>
      </c>
    </row>
    <row r="140" spans="1:8" ht="14.6" x14ac:dyDescent="0.4">
      <c r="A140" s="4" t="s">
        <v>21</v>
      </c>
      <c r="B140" s="4" t="s">
        <v>22</v>
      </c>
      <c r="C140" s="5">
        <v>19</v>
      </c>
      <c r="D140" s="11" t="s">
        <v>53</v>
      </c>
      <c r="E140" s="5"/>
      <c r="F140" s="5">
        <v>56.65</v>
      </c>
      <c r="G140" s="5">
        <v>18136</v>
      </c>
      <c r="H140" s="5" t="s">
        <v>12</v>
      </c>
    </row>
    <row r="141" spans="1:8" ht="14.6" x14ac:dyDescent="0.4">
      <c r="A141" s="4" t="s">
        <v>21</v>
      </c>
      <c r="B141" s="4" t="s">
        <v>22</v>
      </c>
      <c r="C141" s="5">
        <v>20</v>
      </c>
      <c r="D141" s="5" t="s">
        <v>53</v>
      </c>
      <c r="E141" s="5"/>
      <c r="F141" s="5">
        <v>76.78</v>
      </c>
      <c r="G141" s="5">
        <v>20383</v>
      </c>
      <c r="H141" s="5" t="s">
        <v>12</v>
      </c>
    </row>
    <row r="142" spans="1:8" ht="14.6" x14ac:dyDescent="0.4">
      <c r="A142" s="4" t="s">
        <v>21</v>
      </c>
      <c r="B142" s="4" t="s">
        <v>22</v>
      </c>
      <c r="C142" s="5">
        <v>21</v>
      </c>
      <c r="D142" s="5" t="s">
        <v>53</v>
      </c>
      <c r="E142" s="5"/>
      <c r="F142" s="5">
        <v>63.75</v>
      </c>
      <c r="G142" s="5">
        <v>18815</v>
      </c>
      <c r="H142" s="5" t="s">
        <v>12</v>
      </c>
    </row>
    <row r="143" spans="1:8" ht="14.6" x14ac:dyDescent="0.4">
      <c r="A143" s="4" t="s">
        <v>21</v>
      </c>
      <c r="B143" s="4" t="s">
        <v>22</v>
      </c>
      <c r="C143" s="5">
        <v>22</v>
      </c>
      <c r="D143" s="11" t="s">
        <v>53</v>
      </c>
      <c r="E143" s="5"/>
      <c r="F143" s="5">
        <v>63.2</v>
      </c>
      <c r="G143" s="5">
        <v>18142</v>
      </c>
      <c r="H143" s="5" t="s">
        <v>12</v>
      </c>
    </row>
    <row r="144" spans="1:8" ht="14.6" x14ac:dyDescent="0.4">
      <c r="A144" s="4" t="s">
        <v>21</v>
      </c>
      <c r="B144" s="4" t="s">
        <v>22</v>
      </c>
      <c r="C144" s="5">
        <v>23</v>
      </c>
      <c r="D144" s="5" t="s">
        <v>53</v>
      </c>
      <c r="E144" s="5"/>
      <c r="F144" s="5">
        <v>75.63</v>
      </c>
      <c r="G144" s="5">
        <v>19619</v>
      </c>
      <c r="H144" s="5" t="s">
        <v>12</v>
      </c>
    </row>
    <row r="145" spans="1:8" ht="14.6" x14ac:dyDescent="0.4">
      <c r="A145" s="4" t="s">
        <v>21</v>
      </c>
      <c r="B145" s="4" t="s">
        <v>22</v>
      </c>
      <c r="C145" s="5">
        <v>24</v>
      </c>
      <c r="D145" s="5">
        <v>55.5</v>
      </c>
      <c r="E145" s="5">
        <f t="shared" si="4"/>
        <v>0.92500000000000004</v>
      </c>
      <c r="F145" s="5">
        <v>74.97</v>
      </c>
      <c r="G145" s="5">
        <v>20206</v>
      </c>
      <c r="H145" s="5"/>
    </row>
    <row r="146" spans="1:8" ht="14.6" x14ac:dyDescent="0.4">
      <c r="A146" s="4" t="s">
        <v>21</v>
      </c>
      <c r="B146" s="4" t="s">
        <v>22</v>
      </c>
      <c r="C146" s="5">
        <v>25</v>
      </c>
      <c r="D146" s="11" t="s">
        <v>53</v>
      </c>
      <c r="E146" s="5"/>
      <c r="F146" s="5">
        <v>75.510000000000005</v>
      </c>
      <c r="G146" s="5">
        <v>20317</v>
      </c>
      <c r="H146" s="5" t="s">
        <v>12</v>
      </c>
    </row>
    <row r="147" spans="1:8" ht="14.6" x14ac:dyDescent="0.4">
      <c r="A147" s="4" t="s">
        <v>21</v>
      </c>
      <c r="B147" s="4" t="s">
        <v>22</v>
      </c>
      <c r="C147" s="5">
        <v>26</v>
      </c>
      <c r="D147" s="5" t="s">
        <v>53</v>
      </c>
      <c r="E147" s="5"/>
      <c r="F147" s="5">
        <v>64.010000000000005</v>
      </c>
      <c r="G147" s="5">
        <v>18316</v>
      </c>
      <c r="H147" s="5" t="s">
        <v>12</v>
      </c>
    </row>
    <row r="148" spans="1:8" ht="14.6" x14ac:dyDescent="0.4">
      <c r="A148" s="4" t="s">
        <v>21</v>
      </c>
      <c r="B148" s="4" t="s">
        <v>22</v>
      </c>
      <c r="C148" s="5">
        <v>27</v>
      </c>
      <c r="D148" s="5" t="s">
        <v>53</v>
      </c>
      <c r="E148" s="5"/>
      <c r="F148" s="5">
        <v>81.53</v>
      </c>
      <c r="G148" s="5">
        <v>20972</v>
      </c>
      <c r="H148" s="5" t="s">
        <v>12</v>
      </c>
    </row>
    <row r="149" spans="1:8" ht="14.6" x14ac:dyDescent="0.4">
      <c r="A149" s="4" t="s">
        <v>21</v>
      </c>
      <c r="B149" s="4" t="s">
        <v>22</v>
      </c>
      <c r="C149" s="5">
        <v>28</v>
      </c>
      <c r="D149" s="11">
        <v>54.5</v>
      </c>
      <c r="E149" s="5">
        <f t="shared" si="4"/>
        <v>0.90833333333333333</v>
      </c>
      <c r="F149" s="5">
        <v>79.08</v>
      </c>
      <c r="G149" s="5">
        <v>19589</v>
      </c>
      <c r="H149" s="5"/>
    </row>
    <row r="150" spans="1:8" ht="14.6" x14ac:dyDescent="0.4">
      <c r="A150" s="4" t="s">
        <v>21</v>
      </c>
      <c r="B150" s="4" t="s">
        <v>22</v>
      </c>
      <c r="C150" s="5">
        <v>29</v>
      </c>
      <c r="D150" s="11">
        <v>56.5</v>
      </c>
      <c r="E150" s="5">
        <f t="shared" si="4"/>
        <v>0.94166666666666665</v>
      </c>
      <c r="F150" s="5">
        <v>58.73</v>
      </c>
      <c r="G150" s="5">
        <v>18209</v>
      </c>
      <c r="H150" s="5"/>
    </row>
    <row r="151" spans="1:8" ht="14.6" x14ac:dyDescent="0.4">
      <c r="A151" s="4" t="s">
        <v>21</v>
      </c>
      <c r="B151" s="4" t="s">
        <v>22</v>
      </c>
      <c r="C151" s="5">
        <v>30</v>
      </c>
      <c r="D151" s="5" t="s">
        <v>53</v>
      </c>
      <c r="E151" s="5"/>
      <c r="F151" s="5">
        <v>91.38</v>
      </c>
      <c r="G151" s="5">
        <v>20845</v>
      </c>
      <c r="H151" s="5" t="s">
        <v>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1"/>
  <sheetViews>
    <sheetView zoomScaleNormal="100" workbookViewId="0">
      <selection activeCell="A2" sqref="A2"/>
    </sheetView>
  </sheetViews>
  <sheetFormatPr baseColWidth="10" defaultColWidth="9.23046875" defaultRowHeight="14.25" customHeight="1" x14ac:dyDescent="0.4"/>
  <cols>
    <col min="1" max="1" width="11" style="1" customWidth="1"/>
    <col min="2" max="2" width="38" style="1" customWidth="1"/>
    <col min="3" max="3" width="9" style="1" customWidth="1"/>
    <col min="4" max="6" width="12" style="1" customWidth="1"/>
    <col min="7" max="7" width="19" style="1" customWidth="1"/>
    <col min="8" max="8" width="11.765625" style="1" customWidth="1"/>
  </cols>
  <sheetData>
    <row r="1" spans="1:8" x14ac:dyDescent="0.4">
      <c r="A1" s="2" t="s">
        <v>7</v>
      </c>
      <c r="B1" s="2" t="s">
        <v>8</v>
      </c>
      <c r="C1" s="2" t="s">
        <v>9</v>
      </c>
      <c r="D1" s="12" t="s">
        <v>1</v>
      </c>
      <c r="E1" s="2" t="s">
        <v>23</v>
      </c>
      <c r="F1" s="2" t="s">
        <v>10</v>
      </c>
      <c r="G1" s="2" t="s">
        <v>11</v>
      </c>
      <c r="H1" s="2" t="s">
        <v>12</v>
      </c>
    </row>
    <row r="2" spans="1:8" x14ac:dyDescent="0.4">
      <c r="A2" s="4" t="s">
        <v>13</v>
      </c>
      <c r="B2" s="4" t="s">
        <v>14</v>
      </c>
      <c r="C2" s="5">
        <v>1</v>
      </c>
      <c r="D2" s="11">
        <v>46</v>
      </c>
      <c r="E2" s="5">
        <f>D2/50</f>
        <v>0.92</v>
      </c>
      <c r="F2" s="5">
        <v>20.95</v>
      </c>
      <c r="G2" s="5">
        <v>8110</v>
      </c>
      <c r="H2" s="5"/>
    </row>
    <row r="3" spans="1:8" x14ac:dyDescent="0.4">
      <c r="A3" s="4" t="s">
        <v>13</v>
      </c>
      <c r="B3" s="4" t="s">
        <v>14</v>
      </c>
      <c r="C3" s="5">
        <v>2</v>
      </c>
      <c r="D3" s="5">
        <v>45.5</v>
      </c>
      <c r="E3" s="5">
        <f t="shared" ref="E3:E31" si="0">D3/50</f>
        <v>0.91</v>
      </c>
      <c r="F3" s="5">
        <v>17.84</v>
      </c>
      <c r="G3" s="5">
        <v>7975</v>
      </c>
      <c r="H3" s="5"/>
    </row>
    <row r="4" spans="1:8" x14ac:dyDescent="0.4">
      <c r="A4" s="4" t="s">
        <v>13</v>
      </c>
      <c r="B4" s="4" t="s">
        <v>14</v>
      </c>
      <c r="C4" s="5">
        <v>3</v>
      </c>
      <c r="D4" s="11">
        <v>47</v>
      </c>
      <c r="E4" s="5">
        <f t="shared" si="0"/>
        <v>0.94</v>
      </c>
      <c r="F4" s="5">
        <v>19</v>
      </c>
      <c r="G4" s="5">
        <v>7921</v>
      </c>
      <c r="H4" s="5"/>
    </row>
    <row r="5" spans="1:8" x14ac:dyDescent="0.4">
      <c r="A5" s="4" t="s">
        <v>13</v>
      </c>
      <c r="B5" s="4" t="s">
        <v>14</v>
      </c>
      <c r="C5" s="5">
        <v>4</v>
      </c>
      <c r="D5" s="11">
        <v>46.5</v>
      </c>
      <c r="E5" s="5">
        <f t="shared" si="0"/>
        <v>0.93</v>
      </c>
      <c r="F5" s="5">
        <v>19.89</v>
      </c>
      <c r="G5" s="5">
        <v>8130</v>
      </c>
      <c r="H5" s="5"/>
    </row>
    <row r="6" spans="1:8" x14ac:dyDescent="0.4">
      <c r="A6" s="4" t="s">
        <v>13</v>
      </c>
      <c r="B6" s="4" t="s">
        <v>14</v>
      </c>
      <c r="C6" s="5">
        <v>5</v>
      </c>
      <c r="D6" s="5">
        <v>44</v>
      </c>
      <c r="E6" s="5">
        <f t="shared" si="0"/>
        <v>0.88</v>
      </c>
      <c r="F6" s="5">
        <v>18.239999999999998</v>
      </c>
      <c r="G6" s="5">
        <v>7922</v>
      </c>
      <c r="H6" s="5"/>
    </row>
    <row r="7" spans="1:8" x14ac:dyDescent="0.4">
      <c r="A7" s="4" t="s">
        <v>13</v>
      </c>
      <c r="B7" s="4" t="s">
        <v>14</v>
      </c>
      <c r="C7" s="5">
        <v>6</v>
      </c>
      <c r="D7" s="11">
        <v>47.5</v>
      </c>
      <c r="E7" s="5">
        <f t="shared" si="0"/>
        <v>0.95</v>
      </c>
      <c r="F7" s="5">
        <v>18.16</v>
      </c>
      <c r="G7" s="5">
        <v>8001</v>
      </c>
      <c r="H7" s="5"/>
    </row>
    <row r="8" spans="1:8" x14ac:dyDescent="0.4">
      <c r="A8" s="4" t="s">
        <v>13</v>
      </c>
      <c r="B8" s="4" t="s">
        <v>14</v>
      </c>
      <c r="C8" s="5">
        <v>7</v>
      </c>
      <c r="D8" s="11">
        <v>46</v>
      </c>
      <c r="E8" s="5">
        <f t="shared" si="0"/>
        <v>0.92</v>
      </c>
      <c r="F8" s="5">
        <v>17.95</v>
      </c>
      <c r="G8" s="5">
        <v>7996</v>
      </c>
      <c r="H8" s="5"/>
    </row>
    <row r="9" spans="1:8" x14ac:dyDescent="0.4">
      <c r="A9" s="4" t="s">
        <v>13</v>
      </c>
      <c r="B9" s="4" t="s">
        <v>14</v>
      </c>
      <c r="C9" s="5">
        <v>8</v>
      </c>
      <c r="D9" s="5">
        <v>44</v>
      </c>
      <c r="E9" s="5">
        <f t="shared" si="0"/>
        <v>0.88</v>
      </c>
      <c r="F9" s="5">
        <v>18.12</v>
      </c>
      <c r="G9" s="5">
        <v>8021</v>
      </c>
      <c r="H9" s="5"/>
    </row>
    <row r="10" spans="1:8" x14ac:dyDescent="0.4">
      <c r="A10" s="4" t="s">
        <v>13</v>
      </c>
      <c r="B10" s="4" t="s">
        <v>14</v>
      </c>
      <c r="C10" s="5">
        <v>9</v>
      </c>
      <c r="D10" s="11">
        <v>47</v>
      </c>
      <c r="E10" s="5">
        <f t="shared" si="0"/>
        <v>0.94</v>
      </c>
      <c r="F10" s="5">
        <v>20.350000000000001</v>
      </c>
      <c r="G10" s="5">
        <v>8219</v>
      </c>
      <c r="H10" s="5"/>
    </row>
    <row r="11" spans="1:8" x14ac:dyDescent="0.4">
      <c r="A11" s="4" t="s">
        <v>13</v>
      </c>
      <c r="B11" s="4" t="s">
        <v>14</v>
      </c>
      <c r="C11" s="5">
        <v>10</v>
      </c>
      <c r="D11" s="11">
        <v>45</v>
      </c>
      <c r="E11" s="5">
        <f t="shared" si="0"/>
        <v>0.9</v>
      </c>
      <c r="F11" s="5">
        <v>22.04</v>
      </c>
      <c r="G11" s="5">
        <v>8441</v>
      </c>
      <c r="H11" s="5"/>
    </row>
    <row r="12" spans="1:8" x14ac:dyDescent="0.4">
      <c r="A12" s="4" t="s">
        <v>13</v>
      </c>
      <c r="B12" s="4" t="s">
        <v>14</v>
      </c>
      <c r="C12" s="5">
        <v>11</v>
      </c>
      <c r="D12" s="5">
        <v>43.5</v>
      </c>
      <c r="E12" s="5">
        <f t="shared" si="0"/>
        <v>0.87</v>
      </c>
      <c r="F12" s="5">
        <v>19.239999999999998</v>
      </c>
      <c r="G12" s="5">
        <v>8021</v>
      </c>
      <c r="H12" s="5"/>
    </row>
    <row r="13" spans="1:8" x14ac:dyDescent="0.4">
      <c r="A13" s="4" t="s">
        <v>13</v>
      </c>
      <c r="B13" s="4" t="s">
        <v>14</v>
      </c>
      <c r="C13" s="5">
        <v>12</v>
      </c>
      <c r="D13" s="5">
        <v>47</v>
      </c>
      <c r="E13" s="5">
        <f t="shared" si="0"/>
        <v>0.94</v>
      </c>
      <c r="F13" s="5">
        <v>17.309999999999999</v>
      </c>
      <c r="G13" s="5">
        <v>7964</v>
      </c>
      <c r="H13" s="5"/>
    </row>
    <row r="14" spans="1:8" x14ac:dyDescent="0.4">
      <c r="A14" s="4" t="s">
        <v>13</v>
      </c>
      <c r="B14" s="4" t="s">
        <v>14</v>
      </c>
      <c r="C14" s="5">
        <v>13</v>
      </c>
      <c r="D14" s="11">
        <v>45</v>
      </c>
      <c r="E14" s="5">
        <f t="shared" si="0"/>
        <v>0.9</v>
      </c>
      <c r="F14" s="5">
        <v>17.149999999999999</v>
      </c>
      <c r="G14" s="5">
        <v>7920</v>
      </c>
      <c r="H14" s="5"/>
    </row>
    <row r="15" spans="1:8" x14ac:dyDescent="0.4">
      <c r="A15" s="4" t="s">
        <v>13</v>
      </c>
      <c r="B15" s="4" t="s">
        <v>14</v>
      </c>
      <c r="C15" s="5">
        <v>14</v>
      </c>
      <c r="D15" s="5">
        <v>45</v>
      </c>
      <c r="E15" s="5">
        <f t="shared" si="0"/>
        <v>0.9</v>
      </c>
      <c r="F15" s="5">
        <v>18.89</v>
      </c>
      <c r="G15" s="5">
        <v>8029</v>
      </c>
      <c r="H15" s="5"/>
    </row>
    <row r="16" spans="1:8" x14ac:dyDescent="0.4">
      <c r="A16" s="4" t="s">
        <v>13</v>
      </c>
      <c r="B16" s="4" t="s">
        <v>14</v>
      </c>
      <c r="C16" s="5">
        <v>15</v>
      </c>
      <c r="D16" s="5">
        <v>48</v>
      </c>
      <c r="E16" s="5">
        <f t="shared" si="0"/>
        <v>0.96</v>
      </c>
      <c r="F16" s="5">
        <v>17.22</v>
      </c>
      <c r="G16" s="5">
        <v>7904</v>
      </c>
      <c r="H16" s="5"/>
    </row>
    <row r="17" spans="1:8" x14ac:dyDescent="0.4">
      <c r="A17" s="4" t="s">
        <v>13</v>
      </c>
      <c r="B17" s="4" t="s">
        <v>14</v>
      </c>
      <c r="C17" s="5">
        <v>16</v>
      </c>
      <c r="D17" s="11">
        <v>45.5</v>
      </c>
      <c r="E17" s="5">
        <f t="shared" si="0"/>
        <v>0.91</v>
      </c>
      <c r="F17" s="5">
        <v>20.71</v>
      </c>
      <c r="G17" s="5">
        <v>8194</v>
      </c>
      <c r="H17" s="5"/>
    </row>
    <row r="18" spans="1:8" x14ac:dyDescent="0.4">
      <c r="A18" s="4" t="s">
        <v>13</v>
      </c>
      <c r="B18" s="4" t="s">
        <v>14</v>
      </c>
      <c r="C18" s="5">
        <v>17</v>
      </c>
      <c r="D18" s="5">
        <v>43</v>
      </c>
      <c r="E18" s="5">
        <f t="shared" si="0"/>
        <v>0.86</v>
      </c>
      <c r="F18" s="5">
        <v>26.5</v>
      </c>
      <c r="G18" s="5">
        <v>8736</v>
      </c>
      <c r="H18" s="5"/>
    </row>
    <row r="19" spans="1:8" x14ac:dyDescent="0.4">
      <c r="A19" s="4" t="s">
        <v>13</v>
      </c>
      <c r="B19" s="4" t="s">
        <v>14</v>
      </c>
      <c r="C19" s="5">
        <v>18</v>
      </c>
      <c r="D19" s="5">
        <v>47.5</v>
      </c>
      <c r="E19" s="5">
        <f t="shared" si="0"/>
        <v>0.95</v>
      </c>
      <c r="F19" s="5">
        <v>16.95</v>
      </c>
      <c r="G19" s="5">
        <v>7837</v>
      </c>
      <c r="H19" s="5"/>
    </row>
    <row r="20" spans="1:8" x14ac:dyDescent="0.4">
      <c r="A20" s="4" t="s">
        <v>13</v>
      </c>
      <c r="B20" s="4" t="s">
        <v>14</v>
      </c>
      <c r="C20" s="5">
        <v>19</v>
      </c>
      <c r="D20" s="11">
        <v>45.5</v>
      </c>
      <c r="E20" s="5">
        <f t="shared" si="0"/>
        <v>0.91</v>
      </c>
      <c r="F20" s="5">
        <v>18.63</v>
      </c>
      <c r="G20" s="5">
        <v>8036</v>
      </c>
      <c r="H20" s="5"/>
    </row>
    <row r="21" spans="1:8" x14ac:dyDescent="0.4">
      <c r="A21" s="4" t="s">
        <v>13</v>
      </c>
      <c r="B21" s="4" t="s">
        <v>14</v>
      </c>
      <c r="C21" s="5">
        <v>20</v>
      </c>
      <c r="D21" s="5">
        <v>44</v>
      </c>
      <c r="E21" s="5">
        <f t="shared" si="0"/>
        <v>0.88</v>
      </c>
      <c r="F21" s="5">
        <v>18.03</v>
      </c>
      <c r="G21" s="5">
        <v>8007</v>
      </c>
      <c r="H21" s="5"/>
    </row>
    <row r="22" spans="1:8" x14ac:dyDescent="0.4">
      <c r="A22" s="4" t="s">
        <v>13</v>
      </c>
      <c r="B22" s="4" t="s">
        <v>14</v>
      </c>
      <c r="C22" s="5">
        <v>21</v>
      </c>
      <c r="D22" s="5">
        <v>46.5</v>
      </c>
      <c r="E22" s="5">
        <f t="shared" si="0"/>
        <v>0.93</v>
      </c>
      <c r="F22" s="5">
        <v>18.899999999999999</v>
      </c>
      <c r="G22" s="5">
        <v>7897</v>
      </c>
      <c r="H22" s="5"/>
    </row>
    <row r="23" spans="1:8" x14ac:dyDescent="0.4">
      <c r="A23" s="4" t="s">
        <v>13</v>
      </c>
      <c r="B23" s="4" t="s">
        <v>14</v>
      </c>
      <c r="C23" s="5">
        <v>22</v>
      </c>
      <c r="D23" s="11">
        <v>45.5</v>
      </c>
      <c r="E23" s="5">
        <f t="shared" si="0"/>
        <v>0.91</v>
      </c>
      <c r="F23" s="5">
        <v>17.149999999999999</v>
      </c>
      <c r="G23" s="5">
        <v>7928</v>
      </c>
      <c r="H23" s="5"/>
    </row>
    <row r="24" spans="1:8" x14ac:dyDescent="0.4">
      <c r="A24" s="4" t="s">
        <v>13</v>
      </c>
      <c r="B24" s="4" t="s">
        <v>14</v>
      </c>
      <c r="C24" s="5">
        <v>23</v>
      </c>
      <c r="D24" s="5">
        <v>43.5</v>
      </c>
      <c r="E24" s="5">
        <f t="shared" si="0"/>
        <v>0.87</v>
      </c>
      <c r="F24" s="5">
        <v>15.61</v>
      </c>
      <c r="G24" s="5">
        <v>7924</v>
      </c>
      <c r="H24" s="5"/>
    </row>
    <row r="25" spans="1:8" x14ac:dyDescent="0.4">
      <c r="A25" s="4" t="s">
        <v>13</v>
      </c>
      <c r="B25" s="4" t="s">
        <v>14</v>
      </c>
      <c r="C25" s="5">
        <v>24</v>
      </c>
      <c r="D25" s="5">
        <v>47</v>
      </c>
      <c r="E25" s="5">
        <f t="shared" si="0"/>
        <v>0.94</v>
      </c>
      <c r="F25" s="5">
        <v>16.07</v>
      </c>
      <c r="G25" s="5">
        <v>7972</v>
      </c>
      <c r="H25" s="5"/>
    </row>
    <row r="26" spans="1:8" x14ac:dyDescent="0.4">
      <c r="A26" s="4" t="s">
        <v>13</v>
      </c>
      <c r="B26" s="4" t="s">
        <v>14</v>
      </c>
      <c r="C26" s="5">
        <v>25</v>
      </c>
      <c r="D26" s="11">
        <v>47.5</v>
      </c>
      <c r="E26" s="5">
        <f t="shared" si="0"/>
        <v>0.95</v>
      </c>
      <c r="F26" s="5">
        <v>18.809999999999999</v>
      </c>
      <c r="G26" s="5">
        <v>7954</v>
      </c>
      <c r="H26" s="5"/>
    </row>
    <row r="27" spans="1:8" x14ac:dyDescent="0.4">
      <c r="A27" s="4" t="s">
        <v>13</v>
      </c>
      <c r="B27" s="4" t="s">
        <v>14</v>
      </c>
      <c r="C27" s="5">
        <v>26</v>
      </c>
      <c r="D27" s="5">
        <v>44</v>
      </c>
      <c r="E27" s="5">
        <f t="shared" si="0"/>
        <v>0.88</v>
      </c>
      <c r="F27" s="5">
        <v>19.63</v>
      </c>
      <c r="G27" s="5">
        <v>8338</v>
      </c>
      <c r="H27" s="5"/>
    </row>
    <row r="28" spans="1:8" x14ac:dyDescent="0.4">
      <c r="A28" s="4" t="s">
        <v>13</v>
      </c>
      <c r="B28" s="4" t="s">
        <v>14</v>
      </c>
      <c r="C28" s="5">
        <v>27</v>
      </c>
      <c r="D28" s="5">
        <v>46.5</v>
      </c>
      <c r="E28" s="5">
        <f t="shared" si="0"/>
        <v>0.93</v>
      </c>
      <c r="F28" s="5">
        <v>16.63</v>
      </c>
      <c r="G28" s="5">
        <v>8020</v>
      </c>
      <c r="H28" s="5"/>
    </row>
    <row r="29" spans="1:8" x14ac:dyDescent="0.4">
      <c r="A29" s="4" t="s">
        <v>13</v>
      </c>
      <c r="B29" s="4" t="s">
        <v>14</v>
      </c>
      <c r="C29" s="5">
        <v>28</v>
      </c>
      <c r="D29" s="11">
        <v>45</v>
      </c>
      <c r="E29" s="5">
        <f t="shared" si="0"/>
        <v>0.9</v>
      </c>
      <c r="F29" s="5">
        <v>21.17</v>
      </c>
      <c r="G29" s="5">
        <v>8530</v>
      </c>
      <c r="H29" s="5"/>
    </row>
    <row r="30" spans="1:8" x14ac:dyDescent="0.4">
      <c r="A30" s="4" t="s">
        <v>13</v>
      </c>
      <c r="B30" s="4" t="s">
        <v>14</v>
      </c>
      <c r="C30" s="5">
        <v>29</v>
      </c>
      <c r="D30" s="5">
        <v>43</v>
      </c>
      <c r="E30" s="5">
        <f t="shared" si="0"/>
        <v>0.86</v>
      </c>
      <c r="F30" s="5">
        <v>24.07</v>
      </c>
      <c r="G30" s="5">
        <v>8321</v>
      </c>
      <c r="H30" s="5"/>
    </row>
    <row r="31" spans="1:8" x14ac:dyDescent="0.4">
      <c r="A31" s="4" t="s">
        <v>13</v>
      </c>
      <c r="B31" s="4" t="s">
        <v>14</v>
      </c>
      <c r="C31" s="5">
        <v>30</v>
      </c>
      <c r="D31" s="5">
        <v>48</v>
      </c>
      <c r="E31" s="5">
        <f t="shared" si="0"/>
        <v>0.96</v>
      </c>
      <c r="F31" s="5">
        <v>21.77</v>
      </c>
      <c r="G31" s="5">
        <v>8109</v>
      </c>
      <c r="H31" s="5"/>
    </row>
    <row r="32" spans="1:8" x14ac:dyDescent="0.4">
      <c r="A32" s="4" t="s">
        <v>15</v>
      </c>
      <c r="B32" s="4" t="s">
        <v>16</v>
      </c>
      <c r="C32" s="5">
        <v>1</v>
      </c>
      <c r="D32" s="11">
        <v>58</v>
      </c>
      <c r="E32" s="5">
        <f>D32/67.5</f>
        <v>0.85925925925925928</v>
      </c>
      <c r="F32" s="5">
        <v>28.2</v>
      </c>
      <c r="G32" s="5">
        <v>9222</v>
      </c>
      <c r="H32" s="5"/>
    </row>
    <row r="33" spans="1:8" x14ac:dyDescent="0.4">
      <c r="A33" s="4" t="s">
        <v>15</v>
      </c>
      <c r="B33" s="4" t="s">
        <v>16</v>
      </c>
      <c r="C33" s="5">
        <v>2</v>
      </c>
      <c r="D33" s="5">
        <v>62</v>
      </c>
      <c r="E33" s="5">
        <f t="shared" ref="E33:E61" si="1">D33/67.5</f>
        <v>0.91851851851851851</v>
      </c>
      <c r="F33" s="5">
        <v>26.49</v>
      </c>
      <c r="G33" s="5">
        <v>9052</v>
      </c>
      <c r="H33" s="5"/>
    </row>
    <row r="34" spans="1:8" x14ac:dyDescent="0.4">
      <c r="A34" s="4" t="s">
        <v>15</v>
      </c>
      <c r="B34" s="4" t="s">
        <v>16</v>
      </c>
      <c r="C34" s="5">
        <v>3</v>
      </c>
      <c r="D34" s="5">
        <v>65.5</v>
      </c>
      <c r="E34" s="5">
        <f t="shared" si="1"/>
        <v>0.97037037037037033</v>
      </c>
      <c r="F34" s="5">
        <v>30.09</v>
      </c>
      <c r="G34" s="5">
        <v>9136</v>
      </c>
      <c r="H34" s="5"/>
    </row>
    <row r="35" spans="1:8" x14ac:dyDescent="0.4">
      <c r="A35" s="4" t="s">
        <v>15</v>
      </c>
      <c r="B35" s="4" t="s">
        <v>16</v>
      </c>
      <c r="C35" s="5">
        <v>4</v>
      </c>
      <c r="D35" s="11">
        <v>63</v>
      </c>
      <c r="E35" s="5">
        <f t="shared" si="1"/>
        <v>0.93333333333333335</v>
      </c>
      <c r="F35" s="5">
        <v>27.85</v>
      </c>
      <c r="G35" s="5">
        <v>9030</v>
      </c>
      <c r="H35" s="5"/>
    </row>
    <row r="36" spans="1:8" x14ac:dyDescent="0.4">
      <c r="A36" s="4" t="s">
        <v>15</v>
      </c>
      <c r="B36" s="4" t="s">
        <v>16</v>
      </c>
      <c r="C36" s="5">
        <v>5</v>
      </c>
      <c r="D36" s="5">
        <v>65</v>
      </c>
      <c r="E36" s="5">
        <f t="shared" si="1"/>
        <v>0.96296296296296291</v>
      </c>
      <c r="F36" s="5">
        <v>29.96</v>
      </c>
      <c r="G36" s="5">
        <v>9328</v>
      </c>
      <c r="H36" s="5"/>
    </row>
    <row r="37" spans="1:8" x14ac:dyDescent="0.4">
      <c r="A37" s="4" t="s">
        <v>15</v>
      </c>
      <c r="B37" s="4" t="s">
        <v>16</v>
      </c>
      <c r="C37" s="5">
        <v>6</v>
      </c>
      <c r="D37" s="5">
        <v>62</v>
      </c>
      <c r="E37" s="5">
        <f t="shared" si="1"/>
        <v>0.91851851851851851</v>
      </c>
      <c r="F37" s="5">
        <v>27.98</v>
      </c>
      <c r="G37" s="5">
        <v>9073</v>
      </c>
      <c r="H37" s="5"/>
    </row>
    <row r="38" spans="1:8" x14ac:dyDescent="0.4">
      <c r="A38" s="4" t="s">
        <v>15</v>
      </c>
      <c r="B38" s="4" t="s">
        <v>16</v>
      </c>
      <c r="C38" s="5">
        <v>7</v>
      </c>
      <c r="D38" s="11">
        <v>58</v>
      </c>
      <c r="E38" s="5">
        <f t="shared" si="1"/>
        <v>0.85925925925925928</v>
      </c>
      <c r="F38" s="5">
        <v>27.86</v>
      </c>
      <c r="G38" s="5">
        <v>9193</v>
      </c>
      <c r="H38" s="5"/>
    </row>
    <row r="39" spans="1:8" x14ac:dyDescent="0.4">
      <c r="A39" s="4" t="s">
        <v>15</v>
      </c>
      <c r="B39" s="4" t="s">
        <v>16</v>
      </c>
      <c r="C39" s="5">
        <v>8</v>
      </c>
      <c r="D39" s="5">
        <v>65</v>
      </c>
      <c r="E39" s="5">
        <f t="shared" si="1"/>
        <v>0.96296296296296291</v>
      </c>
      <c r="F39" s="5">
        <v>28.52</v>
      </c>
      <c r="G39" s="5">
        <v>9208</v>
      </c>
      <c r="H39" s="5"/>
    </row>
    <row r="40" spans="1:8" x14ac:dyDescent="0.4">
      <c r="A40" s="4" t="s">
        <v>15</v>
      </c>
      <c r="B40" s="4" t="s">
        <v>16</v>
      </c>
      <c r="C40" s="5">
        <v>9</v>
      </c>
      <c r="D40" s="5">
        <v>65.5</v>
      </c>
      <c r="E40" s="5">
        <f t="shared" si="1"/>
        <v>0.97037037037037033</v>
      </c>
      <c r="F40" s="5">
        <v>26.3</v>
      </c>
      <c r="G40" s="5">
        <v>8921</v>
      </c>
      <c r="H40" s="5"/>
    </row>
    <row r="41" spans="1:8" x14ac:dyDescent="0.4">
      <c r="A41" s="4" t="s">
        <v>15</v>
      </c>
      <c r="B41" s="4" t="s">
        <v>16</v>
      </c>
      <c r="C41" s="5">
        <v>10</v>
      </c>
      <c r="D41" s="11">
        <v>58</v>
      </c>
      <c r="E41" s="5">
        <f t="shared" si="1"/>
        <v>0.85925925925925928</v>
      </c>
      <c r="F41" s="5">
        <v>28.33</v>
      </c>
      <c r="G41" s="5">
        <v>9142</v>
      </c>
      <c r="H41" s="5"/>
    </row>
    <row r="42" spans="1:8" x14ac:dyDescent="0.4">
      <c r="A42" s="4" t="s">
        <v>15</v>
      </c>
      <c r="B42" s="4" t="s">
        <v>16</v>
      </c>
      <c r="C42" s="5">
        <v>11</v>
      </c>
      <c r="D42" s="5">
        <v>64.5</v>
      </c>
      <c r="E42" s="5">
        <f t="shared" si="1"/>
        <v>0.9555555555555556</v>
      </c>
      <c r="F42" s="5">
        <v>30.47</v>
      </c>
      <c r="G42" s="5">
        <v>9265</v>
      </c>
      <c r="H42" s="5"/>
    </row>
    <row r="43" spans="1:8" x14ac:dyDescent="0.4">
      <c r="A43" s="4" t="s">
        <v>15</v>
      </c>
      <c r="B43" s="4" t="s">
        <v>16</v>
      </c>
      <c r="C43" s="5">
        <v>12</v>
      </c>
      <c r="D43" s="5">
        <v>63</v>
      </c>
      <c r="E43" s="5">
        <f t="shared" si="1"/>
        <v>0.93333333333333335</v>
      </c>
      <c r="F43" s="5">
        <v>29.36</v>
      </c>
      <c r="G43" s="5">
        <v>9074</v>
      </c>
      <c r="H43" s="5"/>
    </row>
    <row r="44" spans="1:8" x14ac:dyDescent="0.4">
      <c r="A44" s="4" t="s">
        <v>15</v>
      </c>
      <c r="B44" s="4" t="s">
        <v>16</v>
      </c>
      <c r="C44" s="5">
        <v>13</v>
      </c>
      <c r="D44" s="11">
        <v>63</v>
      </c>
      <c r="E44" s="5">
        <f t="shared" si="1"/>
        <v>0.93333333333333335</v>
      </c>
      <c r="F44" s="5">
        <v>33.86</v>
      </c>
      <c r="G44" s="5">
        <v>9333</v>
      </c>
      <c r="H44" s="5"/>
    </row>
    <row r="45" spans="1:8" x14ac:dyDescent="0.4">
      <c r="A45" s="4" t="s">
        <v>15</v>
      </c>
      <c r="B45" s="4" t="s">
        <v>16</v>
      </c>
      <c r="C45" s="5">
        <v>14</v>
      </c>
      <c r="D45" s="5">
        <v>61.5</v>
      </c>
      <c r="E45" s="5">
        <f t="shared" si="1"/>
        <v>0.91111111111111109</v>
      </c>
      <c r="F45" s="5">
        <v>29.77</v>
      </c>
      <c r="G45" s="5">
        <v>9108</v>
      </c>
      <c r="H45" s="5"/>
    </row>
    <row r="46" spans="1:8" x14ac:dyDescent="0.4">
      <c r="A46" s="4" t="s">
        <v>15</v>
      </c>
      <c r="B46" s="4" t="s">
        <v>16</v>
      </c>
      <c r="C46" s="5">
        <v>15</v>
      </c>
      <c r="D46" s="5">
        <v>60</v>
      </c>
      <c r="E46" s="5">
        <f t="shared" si="1"/>
        <v>0.88888888888888884</v>
      </c>
      <c r="F46" s="5">
        <v>30.13</v>
      </c>
      <c r="G46" s="5">
        <v>8895</v>
      </c>
      <c r="H46" s="5"/>
    </row>
    <row r="47" spans="1:8" x14ac:dyDescent="0.4">
      <c r="A47" s="4" t="s">
        <v>15</v>
      </c>
      <c r="B47" s="4" t="s">
        <v>16</v>
      </c>
      <c r="C47" s="5">
        <v>16</v>
      </c>
      <c r="D47" s="11">
        <v>63</v>
      </c>
      <c r="E47" s="5">
        <f t="shared" si="1"/>
        <v>0.93333333333333335</v>
      </c>
      <c r="F47" s="5">
        <v>30.05</v>
      </c>
      <c r="G47" s="5">
        <v>9050</v>
      </c>
      <c r="H47" s="5"/>
    </row>
    <row r="48" spans="1:8" x14ac:dyDescent="0.4">
      <c r="A48" s="4" t="s">
        <v>15</v>
      </c>
      <c r="B48" s="4" t="s">
        <v>16</v>
      </c>
      <c r="C48" s="5">
        <v>17</v>
      </c>
      <c r="D48" s="5">
        <v>56</v>
      </c>
      <c r="E48" s="5">
        <f t="shared" si="1"/>
        <v>0.82962962962962961</v>
      </c>
      <c r="F48" s="5">
        <v>29.51</v>
      </c>
      <c r="G48" s="5">
        <v>9072</v>
      </c>
      <c r="H48" s="5"/>
    </row>
    <row r="49" spans="1:8" x14ac:dyDescent="0.4">
      <c r="A49" s="4" t="s">
        <v>15</v>
      </c>
      <c r="B49" s="4" t="s">
        <v>16</v>
      </c>
      <c r="C49" s="5">
        <v>18</v>
      </c>
      <c r="D49" s="5">
        <v>65.5</v>
      </c>
      <c r="E49" s="5">
        <f t="shared" si="1"/>
        <v>0.97037037037037033</v>
      </c>
      <c r="F49" s="5">
        <v>28.93</v>
      </c>
      <c r="G49" s="5">
        <v>9004</v>
      </c>
      <c r="H49" s="5"/>
    </row>
    <row r="50" spans="1:8" x14ac:dyDescent="0.4">
      <c r="A50" s="4" t="s">
        <v>15</v>
      </c>
      <c r="B50" s="4" t="s">
        <v>16</v>
      </c>
      <c r="C50" s="5">
        <v>19</v>
      </c>
      <c r="D50" s="11">
        <v>63</v>
      </c>
      <c r="E50" s="5">
        <f t="shared" si="1"/>
        <v>0.93333333333333335</v>
      </c>
      <c r="F50" s="5">
        <v>27.55</v>
      </c>
      <c r="G50" s="5">
        <v>8980</v>
      </c>
      <c r="H50" s="5"/>
    </row>
    <row r="51" spans="1:8" x14ac:dyDescent="0.4">
      <c r="A51" s="4" t="s">
        <v>15</v>
      </c>
      <c r="B51" s="4" t="s">
        <v>16</v>
      </c>
      <c r="C51" s="5">
        <v>20</v>
      </c>
      <c r="D51" s="5">
        <v>61</v>
      </c>
      <c r="E51" s="5">
        <f t="shared" si="1"/>
        <v>0.90370370370370368</v>
      </c>
      <c r="F51" s="5">
        <v>27.97</v>
      </c>
      <c r="G51" s="5">
        <v>9052</v>
      </c>
      <c r="H51" s="5"/>
    </row>
    <row r="52" spans="1:8" x14ac:dyDescent="0.4">
      <c r="A52" s="4" t="s">
        <v>15</v>
      </c>
      <c r="B52" s="4" t="s">
        <v>16</v>
      </c>
      <c r="C52" s="5">
        <v>21</v>
      </c>
      <c r="D52" s="5">
        <v>66</v>
      </c>
      <c r="E52" s="5">
        <f t="shared" si="1"/>
        <v>0.97777777777777775</v>
      </c>
      <c r="F52" s="5">
        <v>29.15</v>
      </c>
      <c r="G52" s="5">
        <v>9046</v>
      </c>
      <c r="H52" s="5"/>
    </row>
    <row r="53" spans="1:8" x14ac:dyDescent="0.4">
      <c r="A53" s="4" t="s">
        <v>15</v>
      </c>
      <c r="B53" s="4" t="s">
        <v>16</v>
      </c>
      <c r="C53" s="5">
        <v>22</v>
      </c>
      <c r="D53" s="11">
        <v>60.5</v>
      </c>
      <c r="E53" s="5">
        <f t="shared" si="1"/>
        <v>0.89629629629629626</v>
      </c>
      <c r="F53" s="5">
        <v>28.95</v>
      </c>
      <c r="G53" s="5">
        <v>8937</v>
      </c>
      <c r="H53" s="5"/>
    </row>
    <row r="54" spans="1:8" x14ac:dyDescent="0.4">
      <c r="A54" s="4" t="s">
        <v>15</v>
      </c>
      <c r="B54" s="4" t="s">
        <v>16</v>
      </c>
      <c r="C54" s="5">
        <v>23</v>
      </c>
      <c r="D54" s="5">
        <v>60</v>
      </c>
      <c r="E54" s="5">
        <f t="shared" si="1"/>
        <v>0.88888888888888884</v>
      </c>
      <c r="F54" s="5">
        <v>27.49</v>
      </c>
      <c r="G54" s="5">
        <v>9036</v>
      </c>
      <c r="H54" s="5"/>
    </row>
    <row r="55" spans="1:8" x14ac:dyDescent="0.4">
      <c r="A55" s="4" t="s">
        <v>15</v>
      </c>
      <c r="B55" s="4" t="s">
        <v>16</v>
      </c>
      <c r="C55" s="5">
        <v>24</v>
      </c>
      <c r="D55" s="5">
        <v>63.5</v>
      </c>
      <c r="E55" s="5">
        <f t="shared" si="1"/>
        <v>0.94074074074074077</v>
      </c>
      <c r="F55" s="5">
        <v>29.71</v>
      </c>
      <c r="G55" s="5">
        <v>9239</v>
      </c>
      <c r="H55" s="5"/>
    </row>
    <row r="56" spans="1:8" x14ac:dyDescent="0.4">
      <c r="A56" s="4" t="s">
        <v>15</v>
      </c>
      <c r="B56" s="4" t="s">
        <v>16</v>
      </c>
      <c r="C56" s="5">
        <v>25</v>
      </c>
      <c r="D56" s="11">
        <v>63</v>
      </c>
      <c r="E56" s="5">
        <f t="shared" si="1"/>
        <v>0.93333333333333335</v>
      </c>
      <c r="F56" s="5">
        <v>34.76</v>
      </c>
      <c r="G56" s="5">
        <v>9084</v>
      </c>
      <c r="H56" s="5"/>
    </row>
    <row r="57" spans="1:8" x14ac:dyDescent="0.4">
      <c r="A57" s="4" t="s">
        <v>15</v>
      </c>
      <c r="B57" s="4" t="s">
        <v>16</v>
      </c>
      <c r="C57" s="5">
        <v>26</v>
      </c>
      <c r="D57" s="5">
        <v>60</v>
      </c>
      <c r="E57" s="5">
        <f t="shared" si="1"/>
        <v>0.88888888888888884</v>
      </c>
      <c r="F57" s="5">
        <v>34.24</v>
      </c>
      <c r="G57" s="5">
        <v>9353</v>
      </c>
      <c r="H57" s="5"/>
    </row>
    <row r="58" spans="1:8" x14ac:dyDescent="0.4">
      <c r="A58" s="4" t="s">
        <v>15</v>
      </c>
      <c r="B58" s="4" t="s">
        <v>16</v>
      </c>
      <c r="C58" s="5">
        <v>27</v>
      </c>
      <c r="D58" s="5">
        <v>63.5</v>
      </c>
      <c r="E58" s="5">
        <f t="shared" si="1"/>
        <v>0.94074074074074077</v>
      </c>
      <c r="F58" s="5">
        <v>30.58</v>
      </c>
      <c r="G58" s="5">
        <v>9118</v>
      </c>
      <c r="H58" s="5"/>
    </row>
    <row r="59" spans="1:8" x14ac:dyDescent="0.4">
      <c r="A59" s="4" t="s">
        <v>15</v>
      </c>
      <c r="B59" s="4" t="s">
        <v>16</v>
      </c>
      <c r="C59" s="5">
        <v>28</v>
      </c>
      <c r="D59" s="11">
        <v>63</v>
      </c>
      <c r="E59" s="5">
        <f t="shared" si="1"/>
        <v>0.93333333333333335</v>
      </c>
      <c r="F59" s="5">
        <v>29.52</v>
      </c>
      <c r="G59" s="5">
        <v>9036</v>
      </c>
      <c r="H59" s="5"/>
    </row>
    <row r="60" spans="1:8" x14ac:dyDescent="0.4">
      <c r="A60" s="4" t="s">
        <v>15</v>
      </c>
      <c r="B60" s="4" t="s">
        <v>16</v>
      </c>
      <c r="C60" s="5">
        <v>29</v>
      </c>
      <c r="D60" s="5">
        <v>58.5</v>
      </c>
      <c r="E60" s="5">
        <f t="shared" si="1"/>
        <v>0.8666666666666667</v>
      </c>
      <c r="F60" s="5">
        <v>28.98</v>
      </c>
      <c r="G60" s="5">
        <v>9032</v>
      </c>
      <c r="H60" s="5"/>
    </row>
    <row r="61" spans="1:8" x14ac:dyDescent="0.4">
      <c r="A61" s="4" t="s">
        <v>15</v>
      </c>
      <c r="B61" s="4" t="s">
        <v>16</v>
      </c>
      <c r="C61" s="5">
        <v>30</v>
      </c>
      <c r="D61" s="5">
        <v>64</v>
      </c>
      <c r="E61" s="5">
        <f t="shared" si="1"/>
        <v>0.94814814814814818</v>
      </c>
      <c r="F61" s="5">
        <v>27.68</v>
      </c>
      <c r="G61" s="5">
        <v>9048</v>
      </c>
      <c r="H61" s="5"/>
    </row>
    <row r="62" spans="1:8" x14ac:dyDescent="0.4">
      <c r="A62" s="4" t="s">
        <v>17</v>
      </c>
      <c r="B62" s="4" t="s">
        <v>18</v>
      </c>
      <c r="C62" s="5">
        <v>1</v>
      </c>
      <c r="D62" s="11" t="s">
        <v>53</v>
      </c>
      <c r="E62" s="5"/>
      <c r="F62" s="5">
        <v>38.340000000000003</v>
      </c>
      <c r="G62" s="5">
        <v>10577</v>
      </c>
      <c r="H62" s="5" t="s">
        <v>12</v>
      </c>
    </row>
    <row r="63" spans="1:8" x14ac:dyDescent="0.4">
      <c r="A63" s="4" t="s">
        <v>17</v>
      </c>
      <c r="B63" s="4" t="s">
        <v>18</v>
      </c>
      <c r="C63" s="5">
        <v>2</v>
      </c>
      <c r="D63" s="5" t="s">
        <v>53</v>
      </c>
      <c r="E63" s="5"/>
      <c r="F63" s="5">
        <v>25.22</v>
      </c>
      <c r="G63" s="5">
        <v>8988</v>
      </c>
      <c r="H63" s="5" t="s">
        <v>12</v>
      </c>
    </row>
    <row r="64" spans="1:8" x14ac:dyDescent="0.4">
      <c r="A64" s="4" t="s">
        <v>17</v>
      </c>
      <c r="B64" s="4" t="s">
        <v>18</v>
      </c>
      <c r="C64" s="5">
        <v>3</v>
      </c>
      <c r="D64" s="5" t="s">
        <v>53</v>
      </c>
      <c r="E64" s="5"/>
      <c r="F64" s="5">
        <v>30.94</v>
      </c>
      <c r="G64" s="5">
        <v>9682</v>
      </c>
      <c r="H64" s="5" t="s">
        <v>12</v>
      </c>
    </row>
    <row r="65" spans="1:8" x14ac:dyDescent="0.4">
      <c r="A65" s="4" t="s">
        <v>17</v>
      </c>
      <c r="B65" s="4" t="s">
        <v>18</v>
      </c>
      <c r="C65" s="5">
        <v>4</v>
      </c>
      <c r="D65" s="11" t="s">
        <v>53</v>
      </c>
      <c r="E65" s="5"/>
      <c r="F65" s="5">
        <v>30.34</v>
      </c>
      <c r="G65" s="5">
        <v>9412</v>
      </c>
      <c r="H65" s="5" t="s">
        <v>12</v>
      </c>
    </row>
    <row r="66" spans="1:8" x14ac:dyDescent="0.4">
      <c r="A66" s="4" t="s">
        <v>17</v>
      </c>
      <c r="B66" s="4" t="s">
        <v>18</v>
      </c>
      <c r="C66" s="5">
        <v>5</v>
      </c>
      <c r="D66" s="5">
        <v>49</v>
      </c>
      <c r="E66" s="5">
        <f t="shared" ref="E66:E126" si="2">D66/60</f>
        <v>0.81666666666666665</v>
      </c>
      <c r="F66" s="5">
        <v>26.86</v>
      </c>
      <c r="G66" s="5">
        <v>8886</v>
      </c>
      <c r="H66" s="5"/>
    </row>
    <row r="67" spans="1:8" x14ac:dyDescent="0.4">
      <c r="A67" s="4" t="s">
        <v>17</v>
      </c>
      <c r="B67" s="4" t="s">
        <v>18</v>
      </c>
      <c r="C67" s="5">
        <v>6</v>
      </c>
      <c r="D67" s="5" t="s">
        <v>53</v>
      </c>
      <c r="E67" s="5"/>
      <c r="F67" s="5">
        <v>24.8</v>
      </c>
      <c r="G67" s="5">
        <v>8710</v>
      </c>
      <c r="H67" s="5" t="s">
        <v>12</v>
      </c>
    </row>
    <row r="68" spans="1:8" x14ac:dyDescent="0.4">
      <c r="A68" s="4" t="s">
        <v>17</v>
      </c>
      <c r="B68" s="4" t="s">
        <v>18</v>
      </c>
      <c r="C68" s="5">
        <v>7</v>
      </c>
      <c r="D68" s="11" t="s">
        <v>53</v>
      </c>
      <c r="E68" s="5"/>
      <c r="F68" s="5">
        <v>30.07</v>
      </c>
      <c r="G68" s="5">
        <v>9505</v>
      </c>
      <c r="H68" s="5" t="s">
        <v>12</v>
      </c>
    </row>
    <row r="69" spans="1:8" x14ac:dyDescent="0.4">
      <c r="A69" s="4" t="s">
        <v>17</v>
      </c>
      <c r="B69" s="4" t="s">
        <v>18</v>
      </c>
      <c r="C69" s="5">
        <v>8</v>
      </c>
      <c r="D69" s="5">
        <v>52</v>
      </c>
      <c r="E69" s="5">
        <f t="shared" si="2"/>
        <v>0.8666666666666667</v>
      </c>
      <c r="F69" s="5">
        <v>34.64</v>
      </c>
      <c r="G69" s="5">
        <v>9706</v>
      </c>
      <c r="H69" s="5"/>
    </row>
    <row r="70" spans="1:8" x14ac:dyDescent="0.4">
      <c r="A70" s="4" t="s">
        <v>17</v>
      </c>
      <c r="B70" s="4" t="s">
        <v>18</v>
      </c>
      <c r="C70" s="5">
        <v>9</v>
      </c>
      <c r="D70" s="5" t="s">
        <v>53</v>
      </c>
      <c r="E70" s="5"/>
      <c r="F70" s="5">
        <v>37.56</v>
      </c>
      <c r="G70" s="5">
        <v>10319</v>
      </c>
      <c r="H70" s="5" t="s">
        <v>12</v>
      </c>
    </row>
    <row r="71" spans="1:8" x14ac:dyDescent="0.4">
      <c r="A71" s="4" t="s">
        <v>17</v>
      </c>
      <c r="B71" s="4" t="s">
        <v>18</v>
      </c>
      <c r="C71" s="5">
        <v>10</v>
      </c>
      <c r="D71" s="11" t="s">
        <v>53</v>
      </c>
      <c r="E71" s="5"/>
      <c r="F71" s="5">
        <v>38.51</v>
      </c>
      <c r="G71" s="5">
        <v>10388</v>
      </c>
      <c r="H71" s="5" t="s">
        <v>12</v>
      </c>
    </row>
    <row r="72" spans="1:8" x14ac:dyDescent="0.4">
      <c r="A72" s="4" t="s">
        <v>17</v>
      </c>
      <c r="B72" s="4" t="s">
        <v>18</v>
      </c>
      <c r="C72" s="5">
        <v>11</v>
      </c>
      <c r="D72" s="5">
        <v>44.5</v>
      </c>
      <c r="E72" s="5">
        <f t="shared" si="2"/>
        <v>0.7416666666666667</v>
      </c>
      <c r="F72" s="5">
        <v>27.63</v>
      </c>
      <c r="G72" s="5">
        <v>9099</v>
      </c>
      <c r="H72" s="5"/>
    </row>
    <row r="73" spans="1:8" x14ac:dyDescent="0.4">
      <c r="A73" s="4" t="s">
        <v>17</v>
      </c>
      <c r="B73" s="4" t="s">
        <v>18</v>
      </c>
      <c r="C73" s="5">
        <v>12</v>
      </c>
      <c r="D73" s="5">
        <v>56.5</v>
      </c>
      <c r="E73" s="5">
        <f t="shared" si="2"/>
        <v>0.94166666666666665</v>
      </c>
      <c r="F73" s="5">
        <v>41.16</v>
      </c>
      <c r="G73" s="5">
        <v>10508</v>
      </c>
      <c r="H73" s="5"/>
    </row>
    <row r="74" spans="1:8" x14ac:dyDescent="0.4">
      <c r="A74" s="4" t="s">
        <v>17</v>
      </c>
      <c r="B74" s="4" t="s">
        <v>18</v>
      </c>
      <c r="C74" s="5">
        <v>13</v>
      </c>
      <c r="D74" s="11" t="s">
        <v>53</v>
      </c>
      <c r="E74" s="5"/>
      <c r="F74" s="5">
        <v>35.32</v>
      </c>
      <c r="G74" s="5">
        <v>10111</v>
      </c>
      <c r="H74" s="5" t="s">
        <v>12</v>
      </c>
    </row>
    <row r="75" spans="1:8" x14ac:dyDescent="0.4">
      <c r="A75" s="4" t="s">
        <v>17</v>
      </c>
      <c r="B75" s="4" t="s">
        <v>18</v>
      </c>
      <c r="C75" s="5">
        <v>14</v>
      </c>
      <c r="D75" s="5" t="s">
        <v>53</v>
      </c>
      <c r="E75" s="5"/>
      <c r="F75" s="5">
        <v>44.64</v>
      </c>
      <c r="G75" s="5">
        <v>10773</v>
      </c>
      <c r="H75" s="5" t="s">
        <v>12</v>
      </c>
    </row>
    <row r="76" spans="1:8" x14ac:dyDescent="0.4">
      <c r="A76" s="4" t="s">
        <v>17</v>
      </c>
      <c r="B76" s="4" t="s">
        <v>18</v>
      </c>
      <c r="C76" s="5">
        <v>15</v>
      </c>
      <c r="D76" s="5">
        <v>57</v>
      </c>
      <c r="E76" s="5">
        <f t="shared" si="2"/>
        <v>0.95</v>
      </c>
      <c r="F76" s="5">
        <v>27.01</v>
      </c>
      <c r="G76" s="5">
        <v>9154</v>
      </c>
      <c r="H76" s="5"/>
    </row>
    <row r="77" spans="1:8" x14ac:dyDescent="0.4">
      <c r="A77" s="4" t="s">
        <v>17</v>
      </c>
      <c r="B77" s="4" t="s">
        <v>18</v>
      </c>
      <c r="C77" s="5">
        <v>16</v>
      </c>
      <c r="D77" s="11">
        <v>55.5</v>
      </c>
      <c r="E77" s="5">
        <f t="shared" si="2"/>
        <v>0.92500000000000004</v>
      </c>
      <c r="F77" s="5">
        <v>27.07</v>
      </c>
      <c r="G77" s="5">
        <v>9019</v>
      </c>
      <c r="H77" s="5"/>
    </row>
    <row r="78" spans="1:8" x14ac:dyDescent="0.4">
      <c r="A78" s="4" t="s">
        <v>17</v>
      </c>
      <c r="B78" s="4" t="s">
        <v>18</v>
      </c>
      <c r="C78" s="5">
        <v>17</v>
      </c>
      <c r="D78" s="5" t="s">
        <v>53</v>
      </c>
      <c r="E78" s="5"/>
      <c r="F78" s="5">
        <v>39.520000000000003</v>
      </c>
      <c r="G78" s="5">
        <v>10276</v>
      </c>
      <c r="H78" s="5" t="s">
        <v>12</v>
      </c>
    </row>
    <row r="79" spans="1:8" x14ac:dyDescent="0.4">
      <c r="A79" s="4" t="s">
        <v>17</v>
      </c>
      <c r="B79" s="4" t="s">
        <v>18</v>
      </c>
      <c r="C79" s="5">
        <v>18</v>
      </c>
      <c r="D79" s="5">
        <v>55.5</v>
      </c>
      <c r="E79" s="5">
        <f t="shared" si="2"/>
        <v>0.92500000000000004</v>
      </c>
      <c r="F79" s="5">
        <v>40.9</v>
      </c>
      <c r="G79" s="5">
        <v>10522</v>
      </c>
      <c r="H79" s="5"/>
    </row>
    <row r="80" spans="1:8" x14ac:dyDescent="0.4">
      <c r="A80" s="4" t="s">
        <v>17</v>
      </c>
      <c r="B80" s="4" t="s">
        <v>18</v>
      </c>
      <c r="C80" s="5">
        <v>19</v>
      </c>
      <c r="D80" s="11">
        <v>48.5</v>
      </c>
      <c r="E80" s="5">
        <f t="shared" si="2"/>
        <v>0.80833333333333335</v>
      </c>
      <c r="F80" s="5">
        <v>33.1</v>
      </c>
      <c r="G80" s="5">
        <v>9618</v>
      </c>
      <c r="H80" s="5"/>
    </row>
    <row r="81" spans="1:8" x14ac:dyDescent="0.4">
      <c r="A81" s="4" t="s">
        <v>17</v>
      </c>
      <c r="B81" s="4" t="s">
        <v>18</v>
      </c>
      <c r="C81" s="5">
        <v>20</v>
      </c>
      <c r="D81" s="5" t="s">
        <v>53</v>
      </c>
      <c r="E81" s="5"/>
      <c r="F81" s="5">
        <v>35.49</v>
      </c>
      <c r="G81" s="5">
        <v>10098</v>
      </c>
      <c r="H81" s="5" t="s">
        <v>12</v>
      </c>
    </row>
    <row r="82" spans="1:8" x14ac:dyDescent="0.4">
      <c r="A82" s="4" t="s">
        <v>17</v>
      </c>
      <c r="B82" s="4" t="s">
        <v>18</v>
      </c>
      <c r="C82" s="5">
        <v>21</v>
      </c>
      <c r="D82" s="5" t="s">
        <v>53</v>
      </c>
      <c r="E82" s="5"/>
      <c r="F82" s="5">
        <v>39.01</v>
      </c>
      <c r="G82" s="5">
        <v>10511</v>
      </c>
      <c r="H82" s="5" t="s">
        <v>12</v>
      </c>
    </row>
    <row r="83" spans="1:8" x14ac:dyDescent="0.4">
      <c r="A83" s="4" t="s">
        <v>17</v>
      </c>
      <c r="B83" s="4" t="s">
        <v>18</v>
      </c>
      <c r="C83" s="5">
        <v>22</v>
      </c>
      <c r="D83" s="11">
        <v>49</v>
      </c>
      <c r="E83" s="5">
        <f t="shared" si="2"/>
        <v>0.81666666666666665</v>
      </c>
      <c r="F83" s="5">
        <v>41.54</v>
      </c>
      <c r="G83" s="5">
        <v>10749</v>
      </c>
      <c r="H83" s="5"/>
    </row>
    <row r="84" spans="1:8" x14ac:dyDescent="0.4">
      <c r="A84" s="4" t="s">
        <v>17</v>
      </c>
      <c r="B84" s="4" t="s">
        <v>18</v>
      </c>
      <c r="C84" s="5">
        <v>23</v>
      </c>
      <c r="D84" s="5" t="s">
        <v>53</v>
      </c>
      <c r="E84" s="5"/>
      <c r="F84" s="5">
        <v>41.29</v>
      </c>
      <c r="G84" s="5">
        <v>10725</v>
      </c>
      <c r="H84" s="5" t="s">
        <v>12</v>
      </c>
    </row>
    <row r="85" spans="1:8" x14ac:dyDescent="0.4">
      <c r="A85" s="4" t="s">
        <v>17</v>
      </c>
      <c r="B85" s="4" t="s">
        <v>18</v>
      </c>
      <c r="C85" s="5">
        <v>24</v>
      </c>
      <c r="D85" s="5">
        <v>55.5</v>
      </c>
      <c r="E85" s="5">
        <f t="shared" si="2"/>
        <v>0.92500000000000004</v>
      </c>
      <c r="F85" s="5">
        <v>22.76</v>
      </c>
      <c r="G85" s="5">
        <v>8718</v>
      </c>
      <c r="H85" s="5"/>
    </row>
    <row r="86" spans="1:8" x14ac:dyDescent="0.4">
      <c r="A86" s="4" t="s">
        <v>17</v>
      </c>
      <c r="B86" s="4" t="s">
        <v>18</v>
      </c>
      <c r="C86" s="5">
        <v>25</v>
      </c>
      <c r="D86" s="11">
        <v>48</v>
      </c>
      <c r="E86" s="5">
        <f t="shared" si="2"/>
        <v>0.8</v>
      </c>
      <c r="F86" s="5">
        <v>38.54</v>
      </c>
      <c r="G86" s="5">
        <v>10343</v>
      </c>
      <c r="H86" s="5"/>
    </row>
    <row r="87" spans="1:8" x14ac:dyDescent="0.4">
      <c r="A87" s="4" t="s">
        <v>17</v>
      </c>
      <c r="B87" s="4" t="s">
        <v>18</v>
      </c>
      <c r="C87" s="5">
        <v>26</v>
      </c>
      <c r="D87" s="5" t="s">
        <v>53</v>
      </c>
      <c r="E87" s="5"/>
      <c r="F87" s="5">
        <v>41.64</v>
      </c>
      <c r="G87" s="5">
        <v>10718</v>
      </c>
      <c r="H87" s="5" t="s">
        <v>12</v>
      </c>
    </row>
    <row r="88" spans="1:8" x14ac:dyDescent="0.4">
      <c r="A88" s="4" t="s">
        <v>17</v>
      </c>
      <c r="B88" s="4" t="s">
        <v>18</v>
      </c>
      <c r="C88" s="5">
        <v>27</v>
      </c>
      <c r="D88" s="5">
        <v>58</v>
      </c>
      <c r="E88" s="5">
        <f t="shared" si="2"/>
        <v>0.96666666666666667</v>
      </c>
      <c r="F88" s="5">
        <v>25.84</v>
      </c>
      <c r="G88" s="5">
        <v>9031</v>
      </c>
      <c r="H88" s="5"/>
    </row>
    <row r="89" spans="1:8" x14ac:dyDescent="0.4">
      <c r="A89" s="4" t="s">
        <v>17</v>
      </c>
      <c r="B89" s="4" t="s">
        <v>18</v>
      </c>
      <c r="C89" s="5">
        <v>28</v>
      </c>
      <c r="D89" s="11" t="s">
        <v>53</v>
      </c>
      <c r="E89" s="5"/>
      <c r="F89" s="5">
        <v>24.07</v>
      </c>
      <c r="G89" s="5">
        <v>8694</v>
      </c>
      <c r="H89" s="5" t="s">
        <v>12</v>
      </c>
    </row>
    <row r="90" spans="1:8" x14ac:dyDescent="0.4">
      <c r="A90" s="4" t="s">
        <v>17</v>
      </c>
      <c r="B90" s="4" t="s">
        <v>18</v>
      </c>
      <c r="C90" s="5">
        <v>29</v>
      </c>
      <c r="D90" s="5" t="s">
        <v>53</v>
      </c>
      <c r="E90" s="5"/>
      <c r="F90" s="5">
        <v>41.05</v>
      </c>
      <c r="G90" s="5">
        <v>10483</v>
      </c>
      <c r="H90" s="5" t="s">
        <v>12</v>
      </c>
    </row>
    <row r="91" spans="1:8" x14ac:dyDescent="0.4">
      <c r="A91" s="4" t="s">
        <v>17</v>
      </c>
      <c r="B91" s="4" t="s">
        <v>18</v>
      </c>
      <c r="C91" s="5">
        <v>30</v>
      </c>
      <c r="D91" s="5" t="s">
        <v>53</v>
      </c>
      <c r="E91" s="5"/>
      <c r="F91" s="5">
        <v>27.55</v>
      </c>
      <c r="G91" s="5">
        <v>8907</v>
      </c>
      <c r="H91" s="5" t="s">
        <v>12</v>
      </c>
    </row>
    <row r="92" spans="1:8" x14ac:dyDescent="0.4">
      <c r="A92" s="4" t="s">
        <v>19</v>
      </c>
      <c r="B92" s="4" t="s">
        <v>20</v>
      </c>
      <c r="C92" s="5">
        <v>1</v>
      </c>
      <c r="D92" s="11">
        <v>64</v>
      </c>
      <c r="E92" s="5">
        <f>D92/70</f>
        <v>0.91428571428571426</v>
      </c>
      <c r="F92" s="5">
        <v>34.6</v>
      </c>
      <c r="G92" s="5">
        <v>9872</v>
      </c>
      <c r="H92" s="5"/>
    </row>
    <row r="93" spans="1:8" x14ac:dyDescent="0.4">
      <c r="A93" s="4" t="s">
        <v>19</v>
      </c>
      <c r="B93" s="4" t="s">
        <v>20</v>
      </c>
      <c r="C93" s="5">
        <v>2</v>
      </c>
      <c r="D93" s="5">
        <v>63.5</v>
      </c>
      <c r="E93" s="5">
        <f t="shared" ref="E93:E121" si="3">D93/70</f>
        <v>0.90714285714285714</v>
      </c>
      <c r="F93" s="5">
        <v>31.22</v>
      </c>
      <c r="G93" s="5">
        <v>9519</v>
      </c>
      <c r="H93" s="5"/>
    </row>
    <row r="94" spans="1:8" x14ac:dyDescent="0.4">
      <c r="A94" s="4" t="s">
        <v>19</v>
      </c>
      <c r="B94" s="4" t="s">
        <v>20</v>
      </c>
      <c r="C94" s="5">
        <v>3</v>
      </c>
      <c r="D94" s="5">
        <v>63</v>
      </c>
      <c r="E94" s="5">
        <f t="shared" si="3"/>
        <v>0.9</v>
      </c>
      <c r="F94" s="5">
        <v>28.25</v>
      </c>
      <c r="G94" s="5">
        <v>9141</v>
      </c>
      <c r="H94" s="5"/>
    </row>
    <row r="95" spans="1:8" x14ac:dyDescent="0.4">
      <c r="A95" s="4" t="s">
        <v>19</v>
      </c>
      <c r="B95" s="4" t="s">
        <v>20</v>
      </c>
      <c r="C95" s="5">
        <v>4</v>
      </c>
      <c r="D95" s="11">
        <v>65</v>
      </c>
      <c r="E95" s="5">
        <f t="shared" si="3"/>
        <v>0.9285714285714286</v>
      </c>
      <c r="F95" s="5">
        <v>31.56</v>
      </c>
      <c r="G95" s="5">
        <v>9488</v>
      </c>
      <c r="H95" s="5"/>
    </row>
    <row r="96" spans="1:8" x14ac:dyDescent="0.4">
      <c r="A96" s="4" t="s">
        <v>19</v>
      </c>
      <c r="B96" s="4" t="s">
        <v>20</v>
      </c>
      <c r="C96" s="5">
        <v>5</v>
      </c>
      <c r="D96" s="5">
        <v>60</v>
      </c>
      <c r="E96" s="5">
        <f t="shared" si="3"/>
        <v>0.8571428571428571</v>
      </c>
      <c r="F96" s="5">
        <v>37.159999999999997</v>
      </c>
      <c r="G96" s="5">
        <v>10014</v>
      </c>
      <c r="H96" s="5"/>
    </row>
    <row r="97" spans="1:8" x14ac:dyDescent="0.4">
      <c r="A97" s="4" t="s">
        <v>19</v>
      </c>
      <c r="B97" s="4" t="s">
        <v>20</v>
      </c>
      <c r="C97" s="5">
        <v>6</v>
      </c>
      <c r="D97" s="5">
        <v>68</v>
      </c>
      <c r="E97" s="5">
        <f t="shared" si="3"/>
        <v>0.97142857142857142</v>
      </c>
      <c r="F97" s="5">
        <v>28.77</v>
      </c>
      <c r="G97" s="5">
        <v>9223</v>
      </c>
      <c r="H97" s="5"/>
    </row>
    <row r="98" spans="1:8" x14ac:dyDescent="0.4">
      <c r="A98" s="4" t="s">
        <v>19</v>
      </c>
      <c r="B98" s="4" t="s">
        <v>20</v>
      </c>
      <c r="C98" s="5">
        <v>7</v>
      </c>
      <c r="D98" s="11">
        <v>64.5</v>
      </c>
      <c r="E98" s="5">
        <f t="shared" si="3"/>
        <v>0.92142857142857137</v>
      </c>
      <c r="F98" s="5">
        <v>33.04</v>
      </c>
      <c r="G98" s="5">
        <v>9775</v>
      </c>
      <c r="H98" s="5"/>
    </row>
    <row r="99" spans="1:8" x14ac:dyDescent="0.4">
      <c r="A99" s="4" t="s">
        <v>19</v>
      </c>
      <c r="B99" s="4" t="s">
        <v>20</v>
      </c>
      <c r="C99" s="5">
        <v>8</v>
      </c>
      <c r="D99" s="5">
        <v>56.5</v>
      </c>
      <c r="E99" s="5">
        <f t="shared" si="3"/>
        <v>0.80714285714285716</v>
      </c>
      <c r="F99" s="5">
        <v>32.17</v>
      </c>
      <c r="G99" s="5">
        <v>9644</v>
      </c>
      <c r="H99" s="5"/>
    </row>
    <row r="100" spans="1:8" x14ac:dyDescent="0.4">
      <c r="A100" s="4" t="s">
        <v>19</v>
      </c>
      <c r="B100" s="4" t="s">
        <v>20</v>
      </c>
      <c r="C100" s="5">
        <v>9</v>
      </c>
      <c r="D100" s="5">
        <v>65</v>
      </c>
      <c r="E100" s="5">
        <f t="shared" si="3"/>
        <v>0.9285714285714286</v>
      </c>
      <c r="F100" s="5">
        <v>25.32</v>
      </c>
      <c r="G100" s="5">
        <v>8689</v>
      </c>
      <c r="H100" s="5"/>
    </row>
    <row r="101" spans="1:8" x14ac:dyDescent="0.4">
      <c r="A101" s="4" t="s">
        <v>19</v>
      </c>
      <c r="B101" s="4" t="s">
        <v>20</v>
      </c>
      <c r="C101" s="5">
        <v>10</v>
      </c>
      <c r="D101" s="11">
        <v>64</v>
      </c>
      <c r="E101" s="5">
        <f t="shared" si="3"/>
        <v>0.91428571428571426</v>
      </c>
      <c r="F101" s="5">
        <v>31.21</v>
      </c>
      <c r="G101" s="5">
        <v>9392</v>
      </c>
      <c r="H101" s="5"/>
    </row>
    <row r="102" spans="1:8" x14ac:dyDescent="0.4">
      <c r="A102" s="4" t="s">
        <v>19</v>
      </c>
      <c r="B102" s="4" t="s">
        <v>20</v>
      </c>
      <c r="C102" s="5">
        <v>11</v>
      </c>
      <c r="D102" s="5">
        <v>58.5</v>
      </c>
      <c r="E102" s="5">
        <f t="shared" si="3"/>
        <v>0.83571428571428574</v>
      </c>
      <c r="F102" s="5">
        <v>27.13</v>
      </c>
      <c r="G102" s="5">
        <v>9157</v>
      </c>
      <c r="H102" s="5"/>
    </row>
    <row r="103" spans="1:8" x14ac:dyDescent="0.4">
      <c r="A103" s="4" t="s">
        <v>19</v>
      </c>
      <c r="B103" s="4" t="s">
        <v>20</v>
      </c>
      <c r="C103" s="5">
        <v>12</v>
      </c>
      <c r="D103" s="5">
        <v>64</v>
      </c>
      <c r="E103" s="5">
        <f t="shared" si="3"/>
        <v>0.91428571428571426</v>
      </c>
      <c r="F103" s="5">
        <v>31.92</v>
      </c>
      <c r="G103" s="5">
        <v>9627</v>
      </c>
      <c r="H103" s="5"/>
    </row>
    <row r="104" spans="1:8" x14ac:dyDescent="0.4">
      <c r="A104" s="4" t="s">
        <v>19</v>
      </c>
      <c r="B104" s="4" t="s">
        <v>20</v>
      </c>
      <c r="C104" s="5">
        <v>13</v>
      </c>
      <c r="D104" s="11">
        <v>63.5</v>
      </c>
      <c r="E104" s="5">
        <f t="shared" si="3"/>
        <v>0.90714285714285714</v>
      </c>
      <c r="F104" s="5">
        <v>30.6</v>
      </c>
      <c r="G104" s="5">
        <v>9465</v>
      </c>
      <c r="H104" s="5"/>
    </row>
    <row r="105" spans="1:8" x14ac:dyDescent="0.4">
      <c r="A105" s="4" t="s">
        <v>19</v>
      </c>
      <c r="B105" s="4" t="s">
        <v>20</v>
      </c>
      <c r="C105" s="5">
        <v>14</v>
      </c>
      <c r="D105" s="5">
        <v>57.5</v>
      </c>
      <c r="E105" s="5">
        <f t="shared" si="3"/>
        <v>0.8214285714285714</v>
      </c>
      <c r="F105" s="5">
        <v>41.61</v>
      </c>
      <c r="G105" s="5">
        <v>10355</v>
      </c>
      <c r="H105" s="5"/>
    </row>
    <row r="106" spans="1:8" x14ac:dyDescent="0.4">
      <c r="A106" s="4" t="s">
        <v>19</v>
      </c>
      <c r="B106" s="4" t="s">
        <v>20</v>
      </c>
      <c r="C106" s="5">
        <v>15</v>
      </c>
      <c r="D106" s="5">
        <v>66</v>
      </c>
      <c r="E106" s="5">
        <f t="shared" si="3"/>
        <v>0.94285714285714284</v>
      </c>
      <c r="F106" s="5">
        <v>26.91</v>
      </c>
      <c r="G106" s="5">
        <v>9127</v>
      </c>
      <c r="H106" s="5"/>
    </row>
    <row r="107" spans="1:8" x14ac:dyDescent="0.4">
      <c r="A107" s="4" t="s">
        <v>19</v>
      </c>
      <c r="B107" s="4" t="s">
        <v>20</v>
      </c>
      <c r="C107" s="5">
        <v>16</v>
      </c>
      <c r="D107" s="11">
        <v>65</v>
      </c>
      <c r="E107" s="5">
        <f t="shared" si="3"/>
        <v>0.9285714285714286</v>
      </c>
      <c r="F107" s="5">
        <v>27.05</v>
      </c>
      <c r="G107" s="5">
        <v>9096</v>
      </c>
      <c r="H107" s="5"/>
    </row>
    <row r="108" spans="1:8" x14ac:dyDescent="0.4">
      <c r="A108" s="4" t="s">
        <v>19</v>
      </c>
      <c r="B108" s="4" t="s">
        <v>20</v>
      </c>
      <c r="C108" s="5">
        <v>17</v>
      </c>
      <c r="D108" s="5">
        <v>55.5</v>
      </c>
      <c r="E108" s="5">
        <f t="shared" si="3"/>
        <v>0.79285714285714282</v>
      </c>
      <c r="F108" s="5">
        <v>28.32</v>
      </c>
      <c r="G108" s="5">
        <v>9170</v>
      </c>
      <c r="H108" s="5"/>
    </row>
    <row r="109" spans="1:8" x14ac:dyDescent="0.4">
      <c r="A109" s="4" t="s">
        <v>19</v>
      </c>
      <c r="B109" s="4" t="s">
        <v>20</v>
      </c>
      <c r="C109" s="5">
        <v>18</v>
      </c>
      <c r="D109" s="5">
        <v>61.5</v>
      </c>
      <c r="E109" s="5">
        <f t="shared" si="3"/>
        <v>0.87857142857142856</v>
      </c>
      <c r="F109" s="5">
        <v>35.32</v>
      </c>
      <c r="G109" s="5">
        <v>9928</v>
      </c>
      <c r="H109" s="5"/>
    </row>
    <row r="110" spans="1:8" x14ac:dyDescent="0.4">
      <c r="A110" s="4" t="s">
        <v>19</v>
      </c>
      <c r="B110" s="4" t="s">
        <v>20</v>
      </c>
      <c r="C110" s="5">
        <v>19</v>
      </c>
      <c r="D110" s="11">
        <v>62</v>
      </c>
      <c r="E110" s="5">
        <f t="shared" si="3"/>
        <v>0.88571428571428568</v>
      </c>
      <c r="F110" s="5">
        <v>33.770000000000003</v>
      </c>
      <c r="G110" s="5">
        <v>9712</v>
      </c>
      <c r="H110" s="5"/>
    </row>
    <row r="111" spans="1:8" x14ac:dyDescent="0.4">
      <c r="A111" s="4" t="s">
        <v>19</v>
      </c>
      <c r="B111" s="4" t="s">
        <v>20</v>
      </c>
      <c r="C111" s="5">
        <v>20</v>
      </c>
      <c r="D111" s="5">
        <v>59.5</v>
      </c>
      <c r="E111" s="5">
        <f t="shared" si="3"/>
        <v>0.85</v>
      </c>
      <c r="F111" s="5">
        <v>29.88</v>
      </c>
      <c r="G111" s="5">
        <v>9427</v>
      </c>
      <c r="H111" s="5"/>
    </row>
    <row r="112" spans="1:8" x14ac:dyDescent="0.4">
      <c r="A112" s="4" t="s">
        <v>19</v>
      </c>
      <c r="B112" s="4" t="s">
        <v>20</v>
      </c>
      <c r="C112" s="5">
        <v>21</v>
      </c>
      <c r="D112" s="5">
        <v>65.5</v>
      </c>
      <c r="E112" s="5">
        <f t="shared" si="3"/>
        <v>0.93571428571428572</v>
      </c>
      <c r="F112" s="5">
        <v>33.72</v>
      </c>
      <c r="G112" s="5">
        <v>9676</v>
      </c>
      <c r="H112" s="5"/>
    </row>
    <row r="113" spans="1:8" x14ac:dyDescent="0.4">
      <c r="A113" s="4" t="s">
        <v>19</v>
      </c>
      <c r="B113" s="4" t="s">
        <v>20</v>
      </c>
      <c r="C113" s="5">
        <v>22</v>
      </c>
      <c r="D113" s="11">
        <v>65</v>
      </c>
      <c r="E113" s="5">
        <f t="shared" si="3"/>
        <v>0.9285714285714286</v>
      </c>
      <c r="F113" s="5">
        <v>25.29</v>
      </c>
      <c r="G113" s="5">
        <v>8920</v>
      </c>
      <c r="H113" s="5"/>
    </row>
    <row r="114" spans="1:8" x14ac:dyDescent="0.4">
      <c r="A114" s="4" t="s">
        <v>19</v>
      </c>
      <c r="B114" s="4" t="s">
        <v>20</v>
      </c>
      <c r="C114" s="5">
        <v>23</v>
      </c>
      <c r="D114" s="5">
        <v>59.5</v>
      </c>
      <c r="E114" s="5">
        <f t="shared" si="3"/>
        <v>0.85</v>
      </c>
      <c r="F114" s="5">
        <v>36.69</v>
      </c>
      <c r="G114" s="5">
        <v>10001</v>
      </c>
      <c r="H114" s="5"/>
    </row>
    <row r="115" spans="1:8" x14ac:dyDescent="0.4">
      <c r="A115" s="4" t="s">
        <v>19</v>
      </c>
      <c r="B115" s="4" t="s">
        <v>20</v>
      </c>
      <c r="C115" s="5">
        <v>24</v>
      </c>
      <c r="D115" s="5">
        <v>62.5</v>
      </c>
      <c r="E115" s="5">
        <f t="shared" si="3"/>
        <v>0.8928571428571429</v>
      </c>
      <c r="F115" s="5">
        <v>27.34</v>
      </c>
      <c r="G115" s="5">
        <v>9119</v>
      </c>
      <c r="H115" s="5"/>
    </row>
    <row r="116" spans="1:8" x14ac:dyDescent="0.4">
      <c r="A116" s="4" t="s">
        <v>19</v>
      </c>
      <c r="B116" s="4" t="s">
        <v>20</v>
      </c>
      <c r="C116" s="5">
        <v>25</v>
      </c>
      <c r="D116" s="11">
        <v>64.5</v>
      </c>
      <c r="E116" s="5">
        <f t="shared" si="3"/>
        <v>0.92142857142857137</v>
      </c>
      <c r="F116" s="5">
        <v>28.45</v>
      </c>
      <c r="G116" s="5">
        <v>9135</v>
      </c>
      <c r="H116" s="5"/>
    </row>
    <row r="117" spans="1:8" x14ac:dyDescent="0.4">
      <c r="A117" s="4" t="s">
        <v>19</v>
      </c>
      <c r="B117" s="4" t="s">
        <v>20</v>
      </c>
      <c r="C117" s="5">
        <v>26</v>
      </c>
      <c r="D117" s="5">
        <v>63.5</v>
      </c>
      <c r="E117" s="5">
        <f t="shared" si="3"/>
        <v>0.90714285714285714</v>
      </c>
      <c r="F117" s="5">
        <v>27.7</v>
      </c>
      <c r="G117" s="5">
        <v>9140</v>
      </c>
      <c r="H117" s="5"/>
    </row>
    <row r="118" spans="1:8" x14ac:dyDescent="0.4">
      <c r="A118" s="4" t="s">
        <v>19</v>
      </c>
      <c r="B118" s="4" t="s">
        <v>20</v>
      </c>
      <c r="C118" s="5">
        <v>27</v>
      </c>
      <c r="D118" s="5">
        <v>66</v>
      </c>
      <c r="E118" s="5">
        <f t="shared" si="3"/>
        <v>0.94285714285714284</v>
      </c>
      <c r="F118" s="5">
        <v>25.37</v>
      </c>
      <c r="G118" s="5">
        <v>8914</v>
      </c>
      <c r="H118" s="5"/>
    </row>
    <row r="119" spans="1:8" x14ac:dyDescent="0.4">
      <c r="A119" s="4" t="s">
        <v>19</v>
      </c>
      <c r="B119" s="4" t="s">
        <v>20</v>
      </c>
      <c r="C119" s="5">
        <v>28</v>
      </c>
      <c r="D119" s="11">
        <v>65</v>
      </c>
      <c r="E119" s="5">
        <f t="shared" si="3"/>
        <v>0.9285714285714286</v>
      </c>
      <c r="F119" s="5">
        <v>34.51</v>
      </c>
      <c r="G119" s="5">
        <v>9816</v>
      </c>
      <c r="H119" s="5"/>
    </row>
    <row r="120" spans="1:8" x14ac:dyDescent="0.4">
      <c r="A120" s="4" t="s">
        <v>19</v>
      </c>
      <c r="B120" s="4" t="s">
        <v>20</v>
      </c>
      <c r="C120" s="5">
        <v>29</v>
      </c>
      <c r="D120" s="5">
        <v>59</v>
      </c>
      <c r="E120" s="5">
        <f t="shared" si="3"/>
        <v>0.84285714285714286</v>
      </c>
      <c r="F120" s="5">
        <v>35.369999999999997</v>
      </c>
      <c r="G120" s="5">
        <v>9951</v>
      </c>
      <c r="H120" s="5"/>
    </row>
    <row r="121" spans="1:8" x14ac:dyDescent="0.4">
      <c r="A121" s="4" t="s">
        <v>19</v>
      </c>
      <c r="B121" s="4" t="s">
        <v>20</v>
      </c>
      <c r="C121" s="5">
        <v>30</v>
      </c>
      <c r="D121" s="5">
        <v>66.5</v>
      </c>
      <c r="E121" s="5">
        <f t="shared" si="3"/>
        <v>0.95</v>
      </c>
      <c r="F121" s="5">
        <v>35.79</v>
      </c>
      <c r="G121" s="5">
        <v>9997</v>
      </c>
      <c r="H121" s="5"/>
    </row>
    <row r="122" spans="1:8" x14ac:dyDescent="0.4">
      <c r="A122" s="4" t="s">
        <v>21</v>
      </c>
      <c r="B122" s="4" t="s">
        <v>22</v>
      </c>
      <c r="C122" s="5">
        <v>1</v>
      </c>
      <c r="D122" s="5">
        <v>54</v>
      </c>
      <c r="E122" s="5">
        <f t="shared" si="2"/>
        <v>0.9</v>
      </c>
      <c r="F122" s="5">
        <v>19.41</v>
      </c>
      <c r="G122" s="5">
        <v>8133</v>
      </c>
      <c r="H122" s="5"/>
    </row>
    <row r="123" spans="1:8" x14ac:dyDescent="0.4">
      <c r="A123" s="4" t="s">
        <v>21</v>
      </c>
      <c r="B123" s="4" t="s">
        <v>22</v>
      </c>
      <c r="C123" s="5">
        <v>2</v>
      </c>
      <c r="D123" s="5">
        <v>56.5</v>
      </c>
      <c r="E123" s="5">
        <f t="shared" si="2"/>
        <v>0.94166666666666665</v>
      </c>
      <c r="F123" s="5">
        <v>18.45</v>
      </c>
      <c r="G123" s="5">
        <v>8057</v>
      </c>
      <c r="H123" s="5"/>
    </row>
    <row r="124" spans="1:8" x14ac:dyDescent="0.4">
      <c r="A124" s="4" t="s">
        <v>21</v>
      </c>
      <c r="B124" s="4" t="s">
        <v>22</v>
      </c>
      <c r="C124" s="5">
        <v>3</v>
      </c>
      <c r="D124" s="5">
        <v>58</v>
      </c>
      <c r="E124" s="5">
        <f t="shared" si="2"/>
        <v>0.96666666666666667</v>
      </c>
      <c r="F124" s="5">
        <v>18.03</v>
      </c>
      <c r="G124" s="5">
        <v>8057</v>
      </c>
      <c r="H124" s="5"/>
    </row>
    <row r="125" spans="1:8" x14ac:dyDescent="0.4">
      <c r="A125" s="4" t="s">
        <v>21</v>
      </c>
      <c r="B125" s="4" t="s">
        <v>22</v>
      </c>
      <c r="C125" s="5">
        <v>4</v>
      </c>
      <c r="D125" s="5">
        <v>55</v>
      </c>
      <c r="E125" s="5">
        <f t="shared" si="2"/>
        <v>0.91666666666666663</v>
      </c>
      <c r="F125" s="5">
        <v>16.98</v>
      </c>
      <c r="G125" s="5">
        <v>8008</v>
      </c>
      <c r="H125" s="5"/>
    </row>
    <row r="126" spans="1:8" x14ac:dyDescent="0.4">
      <c r="A126" s="4" t="s">
        <v>21</v>
      </c>
      <c r="B126" s="4" t="s">
        <v>22</v>
      </c>
      <c r="C126" s="5">
        <v>5</v>
      </c>
      <c r="D126" s="5">
        <v>56</v>
      </c>
      <c r="E126" s="5">
        <f t="shared" si="2"/>
        <v>0.93333333333333335</v>
      </c>
      <c r="F126" s="5">
        <v>18.010000000000002</v>
      </c>
      <c r="G126" s="5">
        <v>8052</v>
      </c>
      <c r="H126" s="5"/>
    </row>
    <row r="127" spans="1:8" x14ac:dyDescent="0.4">
      <c r="A127" s="4" t="s">
        <v>21</v>
      </c>
      <c r="B127" s="4" t="s">
        <v>22</v>
      </c>
      <c r="C127" s="5">
        <v>6</v>
      </c>
      <c r="D127" s="5">
        <v>58.5</v>
      </c>
      <c r="E127" s="5">
        <f t="shared" ref="E127:E151" si="4">D127/60</f>
        <v>0.97499999999999998</v>
      </c>
      <c r="F127" s="5">
        <v>17.52</v>
      </c>
      <c r="G127" s="5">
        <v>8070</v>
      </c>
      <c r="H127" s="5"/>
    </row>
    <row r="128" spans="1:8" x14ac:dyDescent="0.4">
      <c r="A128" s="4" t="s">
        <v>21</v>
      </c>
      <c r="B128" s="4" t="s">
        <v>22</v>
      </c>
      <c r="C128" s="5">
        <v>7</v>
      </c>
      <c r="D128" s="5">
        <v>55.5</v>
      </c>
      <c r="E128" s="5">
        <f t="shared" si="4"/>
        <v>0.92500000000000004</v>
      </c>
      <c r="F128" s="5">
        <v>17.239999999999998</v>
      </c>
      <c r="G128" s="5">
        <v>8069</v>
      </c>
      <c r="H128" s="5"/>
    </row>
    <row r="129" spans="1:8" x14ac:dyDescent="0.4">
      <c r="A129" s="4" t="s">
        <v>21</v>
      </c>
      <c r="B129" s="4" t="s">
        <v>22</v>
      </c>
      <c r="C129" s="5">
        <v>8</v>
      </c>
      <c r="D129" s="5">
        <v>56.5</v>
      </c>
      <c r="E129" s="5">
        <f t="shared" si="4"/>
        <v>0.94166666666666665</v>
      </c>
      <c r="F129" s="5">
        <v>17.350000000000001</v>
      </c>
      <c r="G129" s="5">
        <v>8040</v>
      </c>
      <c r="H129" s="5"/>
    </row>
    <row r="130" spans="1:8" x14ac:dyDescent="0.4">
      <c r="A130" s="4" t="s">
        <v>21</v>
      </c>
      <c r="B130" s="4" t="s">
        <v>22</v>
      </c>
      <c r="C130" s="5">
        <v>9</v>
      </c>
      <c r="D130" s="5">
        <v>58.5</v>
      </c>
      <c r="E130" s="5">
        <f t="shared" si="4"/>
        <v>0.97499999999999998</v>
      </c>
      <c r="F130" s="5">
        <v>17.2</v>
      </c>
      <c r="G130" s="5">
        <v>8039</v>
      </c>
      <c r="H130" s="5"/>
    </row>
    <row r="131" spans="1:8" x14ac:dyDescent="0.4">
      <c r="A131" s="4" t="s">
        <v>21</v>
      </c>
      <c r="B131" s="4" t="s">
        <v>22</v>
      </c>
      <c r="C131" s="5">
        <v>10</v>
      </c>
      <c r="D131" s="5">
        <v>55.5</v>
      </c>
      <c r="E131" s="5">
        <f t="shared" si="4"/>
        <v>0.92500000000000004</v>
      </c>
      <c r="F131" s="5">
        <v>18.010000000000002</v>
      </c>
      <c r="G131" s="5">
        <v>8122</v>
      </c>
      <c r="H131" s="5"/>
    </row>
    <row r="132" spans="1:8" x14ac:dyDescent="0.4">
      <c r="A132" s="4" t="s">
        <v>21</v>
      </c>
      <c r="B132" s="4" t="s">
        <v>22</v>
      </c>
      <c r="C132" s="5">
        <v>11</v>
      </c>
      <c r="D132" s="5">
        <v>55</v>
      </c>
      <c r="E132" s="5">
        <f t="shared" si="4"/>
        <v>0.91666666666666663</v>
      </c>
      <c r="F132" s="5">
        <v>17.55</v>
      </c>
      <c r="G132" s="5">
        <v>8038</v>
      </c>
      <c r="H132" s="5"/>
    </row>
    <row r="133" spans="1:8" x14ac:dyDescent="0.4">
      <c r="A133" s="4" t="s">
        <v>21</v>
      </c>
      <c r="B133" s="4" t="s">
        <v>22</v>
      </c>
      <c r="C133" s="5">
        <v>12</v>
      </c>
      <c r="D133" s="5">
        <v>58.5</v>
      </c>
      <c r="E133" s="5">
        <f t="shared" si="4"/>
        <v>0.97499999999999998</v>
      </c>
      <c r="F133" s="5">
        <v>17.43</v>
      </c>
      <c r="G133" s="5">
        <v>8055</v>
      </c>
      <c r="H133" s="5"/>
    </row>
    <row r="134" spans="1:8" x14ac:dyDescent="0.4">
      <c r="A134" s="4" t="s">
        <v>21</v>
      </c>
      <c r="B134" s="4" t="s">
        <v>22</v>
      </c>
      <c r="C134" s="5">
        <v>13</v>
      </c>
      <c r="D134" s="5">
        <v>55</v>
      </c>
      <c r="E134" s="5">
        <f t="shared" si="4"/>
        <v>0.91666666666666663</v>
      </c>
      <c r="F134" s="5">
        <v>17.79</v>
      </c>
      <c r="G134" s="5">
        <v>8058</v>
      </c>
      <c r="H134" s="5"/>
    </row>
    <row r="135" spans="1:8" x14ac:dyDescent="0.4">
      <c r="A135" s="4" t="s">
        <v>21</v>
      </c>
      <c r="B135" s="4" t="s">
        <v>22</v>
      </c>
      <c r="C135" s="5">
        <v>14</v>
      </c>
      <c r="D135" s="5">
        <v>56.5</v>
      </c>
      <c r="E135" s="5">
        <f t="shared" si="4"/>
        <v>0.94166666666666665</v>
      </c>
      <c r="F135" s="5">
        <v>17.8</v>
      </c>
      <c r="G135" s="5">
        <v>8042</v>
      </c>
      <c r="H135" s="5"/>
    </row>
    <row r="136" spans="1:8" x14ac:dyDescent="0.4">
      <c r="A136" s="4" t="s">
        <v>21</v>
      </c>
      <c r="B136" s="4" t="s">
        <v>22</v>
      </c>
      <c r="C136" s="5">
        <v>15</v>
      </c>
      <c r="D136" s="5">
        <v>59</v>
      </c>
      <c r="E136" s="5">
        <f t="shared" si="4"/>
        <v>0.98333333333333328</v>
      </c>
      <c r="F136" s="5">
        <v>18.02</v>
      </c>
      <c r="G136" s="5">
        <v>8048</v>
      </c>
      <c r="H136" s="5"/>
    </row>
    <row r="137" spans="1:8" x14ac:dyDescent="0.4">
      <c r="A137" s="4" t="s">
        <v>21</v>
      </c>
      <c r="B137" s="4" t="s">
        <v>22</v>
      </c>
      <c r="C137" s="5">
        <v>16</v>
      </c>
      <c r="D137" s="5">
        <v>55</v>
      </c>
      <c r="E137" s="5">
        <f t="shared" si="4"/>
        <v>0.91666666666666663</v>
      </c>
      <c r="F137" s="5">
        <v>18.89</v>
      </c>
      <c r="G137" s="5">
        <v>8135</v>
      </c>
      <c r="H137" s="5"/>
    </row>
    <row r="138" spans="1:8" x14ac:dyDescent="0.4">
      <c r="A138" s="4" t="s">
        <v>21</v>
      </c>
      <c r="B138" s="4" t="s">
        <v>22</v>
      </c>
      <c r="C138" s="5">
        <v>17</v>
      </c>
      <c r="D138" s="5">
        <v>55.5</v>
      </c>
      <c r="E138" s="5">
        <f t="shared" si="4"/>
        <v>0.92500000000000004</v>
      </c>
      <c r="F138" s="5">
        <v>18.82</v>
      </c>
      <c r="G138" s="5">
        <v>8050</v>
      </c>
      <c r="H138" s="5"/>
    </row>
    <row r="139" spans="1:8" x14ac:dyDescent="0.4">
      <c r="A139" s="4" t="s">
        <v>21</v>
      </c>
      <c r="B139" s="4" t="s">
        <v>22</v>
      </c>
      <c r="C139" s="5">
        <v>18</v>
      </c>
      <c r="D139" s="5">
        <v>59</v>
      </c>
      <c r="E139" s="5">
        <f t="shared" si="4"/>
        <v>0.98333333333333328</v>
      </c>
      <c r="F139" s="5">
        <v>18.66</v>
      </c>
      <c r="G139" s="5">
        <v>8056</v>
      </c>
      <c r="H139" s="5"/>
    </row>
    <row r="140" spans="1:8" x14ac:dyDescent="0.4">
      <c r="A140" s="4" t="s">
        <v>21</v>
      </c>
      <c r="B140" s="4" t="s">
        <v>22</v>
      </c>
      <c r="C140" s="5">
        <v>19</v>
      </c>
      <c r="D140" s="5">
        <v>56</v>
      </c>
      <c r="E140" s="5">
        <f t="shared" si="4"/>
        <v>0.93333333333333335</v>
      </c>
      <c r="F140" s="5">
        <v>21.06</v>
      </c>
      <c r="G140" s="5">
        <v>8057</v>
      </c>
      <c r="H140" s="5"/>
    </row>
    <row r="141" spans="1:8" x14ac:dyDescent="0.4">
      <c r="A141" s="4" t="s">
        <v>21</v>
      </c>
      <c r="B141" s="4" t="s">
        <v>22</v>
      </c>
      <c r="C141" s="5">
        <v>20</v>
      </c>
      <c r="D141" s="5">
        <v>56</v>
      </c>
      <c r="E141" s="5">
        <f t="shared" si="4"/>
        <v>0.93333333333333335</v>
      </c>
      <c r="F141" s="5">
        <v>18.46</v>
      </c>
      <c r="G141" s="5">
        <v>8098</v>
      </c>
      <c r="H141" s="5"/>
    </row>
    <row r="142" spans="1:8" x14ac:dyDescent="0.4">
      <c r="A142" s="4" t="s">
        <v>21</v>
      </c>
      <c r="B142" s="4" t="s">
        <v>22</v>
      </c>
      <c r="C142" s="5">
        <v>21</v>
      </c>
      <c r="D142" s="5">
        <v>58.5</v>
      </c>
      <c r="E142" s="5">
        <f t="shared" si="4"/>
        <v>0.97499999999999998</v>
      </c>
      <c r="F142" s="5">
        <v>18.73</v>
      </c>
      <c r="G142" s="5">
        <v>8062</v>
      </c>
      <c r="H142" s="5"/>
    </row>
    <row r="143" spans="1:8" x14ac:dyDescent="0.4">
      <c r="A143" s="4" t="s">
        <v>21</v>
      </c>
      <c r="B143" s="4" t="s">
        <v>22</v>
      </c>
      <c r="C143" s="5">
        <v>22</v>
      </c>
      <c r="D143" s="5">
        <v>55.5</v>
      </c>
      <c r="E143" s="5">
        <f t="shared" si="4"/>
        <v>0.92500000000000004</v>
      </c>
      <c r="F143" s="5">
        <v>17.57</v>
      </c>
      <c r="G143" s="5">
        <v>8055</v>
      </c>
      <c r="H143" s="5"/>
    </row>
    <row r="144" spans="1:8" x14ac:dyDescent="0.4">
      <c r="A144" s="4" t="s">
        <v>21</v>
      </c>
      <c r="B144" s="4" t="s">
        <v>22</v>
      </c>
      <c r="C144" s="5">
        <v>23</v>
      </c>
      <c r="D144" s="5">
        <v>56.5</v>
      </c>
      <c r="E144" s="5">
        <f t="shared" si="4"/>
        <v>0.94166666666666665</v>
      </c>
      <c r="F144" s="5">
        <v>16.48</v>
      </c>
      <c r="G144" s="5">
        <v>7971</v>
      </c>
      <c r="H144" s="5"/>
    </row>
    <row r="145" spans="1:8" x14ac:dyDescent="0.4">
      <c r="A145" s="4" t="s">
        <v>21</v>
      </c>
      <c r="B145" s="4" t="s">
        <v>22</v>
      </c>
      <c r="C145" s="5">
        <v>24</v>
      </c>
      <c r="D145" s="5">
        <v>58</v>
      </c>
      <c r="E145" s="5">
        <f t="shared" si="4"/>
        <v>0.96666666666666667</v>
      </c>
      <c r="F145" s="5">
        <v>18.88</v>
      </c>
      <c r="G145" s="5">
        <v>8069</v>
      </c>
      <c r="H145" s="5"/>
    </row>
    <row r="146" spans="1:8" x14ac:dyDescent="0.4">
      <c r="A146" s="4" t="s">
        <v>21</v>
      </c>
      <c r="B146" s="4" t="s">
        <v>22</v>
      </c>
      <c r="C146" s="5">
        <v>25</v>
      </c>
      <c r="D146" s="5">
        <v>55</v>
      </c>
      <c r="E146" s="5">
        <f t="shared" si="4"/>
        <v>0.91666666666666663</v>
      </c>
      <c r="F146" s="5">
        <v>17.53</v>
      </c>
      <c r="G146" s="5">
        <v>8076</v>
      </c>
      <c r="H146" s="5"/>
    </row>
    <row r="147" spans="1:8" x14ac:dyDescent="0.4">
      <c r="A147" s="4" t="s">
        <v>21</v>
      </c>
      <c r="B147" s="4" t="s">
        <v>22</v>
      </c>
      <c r="C147" s="5">
        <v>26</v>
      </c>
      <c r="D147" s="5">
        <v>56.5</v>
      </c>
      <c r="E147" s="5">
        <f t="shared" si="4"/>
        <v>0.94166666666666665</v>
      </c>
      <c r="F147" s="5">
        <v>17.989999999999998</v>
      </c>
      <c r="G147" s="5">
        <v>8051</v>
      </c>
      <c r="H147" s="5"/>
    </row>
    <row r="148" spans="1:8" x14ac:dyDescent="0.4">
      <c r="A148" s="4" t="s">
        <v>21</v>
      </c>
      <c r="B148" s="4" t="s">
        <v>22</v>
      </c>
      <c r="C148" s="5">
        <v>27</v>
      </c>
      <c r="D148" s="5">
        <v>58.5</v>
      </c>
      <c r="E148" s="5">
        <f t="shared" si="4"/>
        <v>0.97499999999999998</v>
      </c>
      <c r="F148" s="5">
        <v>17.96</v>
      </c>
      <c r="G148" s="5">
        <v>8052</v>
      </c>
      <c r="H148" s="5"/>
    </row>
    <row r="149" spans="1:8" x14ac:dyDescent="0.4">
      <c r="A149" s="4" t="s">
        <v>21</v>
      </c>
      <c r="B149" s="4" t="s">
        <v>22</v>
      </c>
      <c r="C149" s="5">
        <v>28</v>
      </c>
      <c r="D149" s="5">
        <v>54</v>
      </c>
      <c r="E149" s="5">
        <f t="shared" si="4"/>
        <v>0.9</v>
      </c>
      <c r="F149" s="5">
        <v>17.260000000000002</v>
      </c>
      <c r="G149" s="5">
        <v>8040</v>
      </c>
      <c r="H149" s="5"/>
    </row>
    <row r="150" spans="1:8" x14ac:dyDescent="0.4">
      <c r="A150" s="4" t="s">
        <v>21</v>
      </c>
      <c r="B150" s="4" t="s">
        <v>22</v>
      </c>
      <c r="C150" s="5">
        <v>29</v>
      </c>
      <c r="D150" s="5">
        <v>56.5</v>
      </c>
      <c r="E150" s="5">
        <f t="shared" si="4"/>
        <v>0.94166666666666665</v>
      </c>
      <c r="F150" s="5">
        <v>18.29</v>
      </c>
      <c r="G150" s="5">
        <v>8061</v>
      </c>
      <c r="H150" s="5"/>
    </row>
    <row r="151" spans="1:8" x14ac:dyDescent="0.4">
      <c r="A151" s="4" t="s">
        <v>21</v>
      </c>
      <c r="B151" s="4" t="s">
        <v>22</v>
      </c>
      <c r="C151" s="5">
        <v>30</v>
      </c>
      <c r="D151" s="5">
        <v>55</v>
      </c>
      <c r="E151" s="5">
        <f t="shared" si="4"/>
        <v>0.91666666666666663</v>
      </c>
      <c r="F151" s="5">
        <v>17.22</v>
      </c>
      <c r="G151" s="5">
        <v>8043</v>
      </c>
      <c r="H151" s="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1"/>
  <sheetViews>
    <sheetView zoomScaleNormal="100" workbookViewId="0">
      <selection activeCell="A2" sqref="A2"/>
    </sheetView>
  </sheetViews>
  <sheetFormatPr baseColWidth="10" defaultColWidth="9.23046875" defaultRowHeight="14.25" customHeight="1" x14ac:dyDescent="0.4"/>
  <cols>
    <col min="1" max="1" width="11" style="1" customWidth="1"/>
    <col min="2" max="2" width="38" style="1" customWidth="1"/>
    <col min="3" max="3" width="9" style="1" customWidth="1"/>
    <col min="4" max="6" width="12" style="1" customWidth="1"/>
    <col min="7" max="7" width="19" style="1" customWidth="1"/>
    <col min="8" max="8" width="12.23046875" style="1" customWidth="1"/>
  </cols>
  <sheetData>
    <row r="1" spans="1:8" x14ac:dyDescent="0.4">
      <c r="A1" s="2" t="s">
        <v>7</v>
      </c>
      <c r="B1" s="2" t="s">
        <v>8</v>
      </c>
      <c r="C1" s="2" t="s">
        <v>9</v>
      </c>
      <c r="D1" s="12" t="s">
        <v>1</v>
      </c>
      <c r="E1" s="2" t="s">
        <v>23</v>
      </c>
      <c r="F1" s="2" t="s">
        <v>10</v>
      </c>
      <c r="G1" s="2" t="s">
        <v>11</v>
      </c>
      <c r="H1" s="2" t="s">
        <v>12</v>
      </c>
    </row>
    <row r="2" spans="1:8" x14ac:dyDescent="0.4">
      <c r="A2" s="4" t="s">
        <v>13</v>
      </c>
      <c r="B2" s="4" t="s">
        <v>14</v>
      </c>
      <c r="C2" s="5">
        <v>1</v>
      </c>
      <c r="D2" s="11">
        <v>46</v>
      </c>
      <c r="E2" s="5">
        <f>D2/50</f>
        <v>0.92</v>
      </c>
      <c r="F2" s="5">
        <v>10.220000000000001</v>
      </c>
      <c r="G2" s="5">
        <v>7465</v>
      </c>
      <c r="H2" s="5"/>
    </row>
    <row r="3" spans="1:8" x14ac:dyDescent="0.4">
      <c r="A3" s="4" t="s">
        <v>13</v>
      </c>
      <c r="B3" s="4" t="s">
        <v>14</v>
      </c>
      <c r="C3" s="5">
        <v>2</v>
      </c>
      <c r="D3" s="5">
        <v>45</v>
      </c>
      <c r="E3" s="5">
        <f t="shared" ref="E3:E31" si="0">D3/50</f>
        <v>0.9</v>
      </c>
      <c r="F3" s="5">
        <v>9.8800000000000008</v>
      </c>
      <c r="G3" s="5">
        <v>7432</v>
      </c>
      <c r="H3" s="5"/>
    </row>
    <row r="4" spans="1:8" x14ac:dyDescent="0.4">
      <c r="A4" s="4" t="s">
        <v>13</v>
      </c>
      <c r="B4" s="4" t="s">
        <v>14</v>
      </c>
      <c r="C4" s="5">
        <v>3</v>
      </c>
      <c r="D4" s="11">
        <v>48</v>
      </c>
      <c r="E4" s="5">
        <f t="shared" si="0"/>
        <v>0.96</v>
      </c>
      <c r="F4" s="5">
        <v>9.94</v>
      </c>
      <c r="G4" s="5">
        <v>7392</v>
      </c>
      <c r="H4" s="5"/>
    </row>
    <row r="5" spans="1:8" x14ac:dyDescent="0.4">
      <c r="A5" s="4" t="s">
        <v>13</v>
      </c>
      <c r="B5" s="4" t="s">
        <v>14</v>
      </c>
      <c r="C5" s="5">
        <v>4</v>
      </c>
      <c r="D5" s="11">
        <v>45</v>
      </c>
      <c r="E5" s="5">
        <f t="shared" si="0"/>
        <v>0.9</v>
      </c>
      <c r="F5" s="5">
        <v>17.27</v>
      </c>
      <c r="G5" s="5">
        <v>7766</v>
      </c>
      <c r="H5" s="5"/>
    </row>
    <row r="6" spans="1:8" x14ac:dyDescent="0.4">
      <c r="A6" s="4" t="s">
        <v>13</v>
      </c>
      <c r="B6" s="4" t="s">
        <v>14</v>
      </c>
      <c r="C6" s="5">
        <v>5</v>
      </c>
      <c r="D6" s="5">
        <v>47.5</v>
      </c>
      <c r="E6" s="5">
        <f t="shared" si="0"/>
        <v>0.95</v>
      </c>
      <c r="F6" s="5">
        <v>12.51</v>
      </c>
      <c r="G6" s="5">
        <v>7692</v>
      </c>
      <c r="H6" s="5"/>
    </row>
    <row r="7" spans="1:8" x14ac:dyDescent="0.4">
      <c r="A7" s="4" t="s">
        <v>13</v>
      </c>
      <c r="B7" s="4" t="s">
        <v>14</v>
      </c>
      <c r="C7" s="5">
        <v>6</v>
      </c>
      <c r="D7" s="11">
        <v>47.5</v>
      </c>
      <c r="E7" s="5">
        <f t="shared" si="0"/>
        <v>0.95</v>
      </c>
      <c r="F7" s="5">
        <v>10.87</v>
      </c>
      <c r="G7" s="5">
        <v>7499</v>
      </c>
      <c r="H7" s="5"/>
    </row>
    <row r="8" spans="1:8" x14ac:dyDescent="0.4">
      <c r="A8" s="4" t="s">
        <v>13</v>
      </c>
      <c r="B8" s="4" t="s">
        <v>14</v>
      </c>
      <c r="C8" s="5">
        <v>7</v>
      </c>
      <c r="D8" s="11">
        <v>46</v>
      </c>
      <c r="E8" s="5">
        <f t="shared" si="0"/>
        <v>0.92</v>
      </c>
      <c r="F8" s="5">
        <v>10.31</v>
      </c>
      <c r="G8" s="5">
        <v>7445</v>
      </c>
      <c r="H8" s="5"/>
    </row>
    <row r="9" spans="1:8" x14ac:dyDescent="0.4">
      <c r="A9" s="4" t="s">
        <v>13</v>
      </c>
      <c r="B9" s="4" t="s">
        <v>14</v>
      </c>
      <c r="C9" s="5">
        <v>8</v>
      </c>
      <c r="D9" s="5">
        <v>45.5</v>
      </c>
      <c r="E9" s="5">
        <f t="shared" si="0"/>
        <v>0.91</v>
      </c>
      <c r="F9" s="5">
        <v>10.32</v>
      </c>
      <c r="G9" s="5">
        <v>7440</v>
      </c>
      <c r="H9" s="5"/>
    </row>
    <row r="10" spans="1:8" x14ac:dyDescent="0.4">
      <c r="A10" s="4" t="s">
        <v>13</v>
      </c>
      <c r="B10" s="4" t="s">
        <v>14</v>
      </c>
      <c r="C10" s="5">
        <v>9</v>
      </c>
      <c r="D10" s="5">
        <v>48.5</v>
      </c>
      <c r="E10" s="5">
        <f t="shared" si="0"/>
        <v>0.97</v>
      </c>
      <c r="F10" s="5">
        <v>9.5500000000000007</v>
      </c>
      <c r="G10" s="5">
        <v>7434</v>
      </c>
      <c r="H10" s="5"/>
    </row>
    <row r="11" spans="1:8" x14ac:dyDescent="0.4">
      <c r="A11" s="4" t="s">
        <v>13</v>
      </c>
      <c r="B11" s="4" t="s">
        <v>14</v>
      </c>
      <c r="C11" s="5">
        <v>10</v>
      </c>
      <c r="D11" s="11">
        <v>46</v>
      </c>
      <c r="E11" s="5">
        <f t="shared" si="0"/>
        <v>0.92</v>
      </c>
      <c r="F11" s="5">
        <v>10.210000000000001</v>
      </c>
      <c r="G11" s="5">
        <v>7452</v>
      </c>
      <c r="H11" s="5"/>
    </row>
    <row r="12" spans="1:8" x14ac:dyDescent="0.4">
      <c r="A12" s="4" t="s">
        <v>13</v>
      </c>
      <c r="B12" s="4" t="s">
        <v>14</v>
      </c>
      <c r="C12" s="5">
        <v>11</v>
      </c>
      <c r="D12" s="5">
        <v>45.5</v>
      </c>
      <c r="E12" s="5">
        <f t="shared" si="0"/>
        <v>0.91</v>
      </c>
      <c r="F12" s="5">
        <v>10.37</v>
      </c>
      <c r="G12" s="5">
        <v>7435</v>
      </c>
      <c r="H12" s="5"/>
    </row>
    <row r="13" spans="1:8" x14ac:dyDescent="0.4">
      <c r="A13" s="4" t="s">
        <v>13</v>
      </c>
      <c r="B13" s="4" t="s">
        <v>14</v>
      </c>
      <c r="C13" s="5">
        <v>12</v>
      </c>
      <c r="D13" s="5">
        <v>48</v>
      </c>
      <c r="E13" s="5">
        <f t="shared" si="0"/>
        <v>0.96</v>
      </c>
      <c r="F13" s="5">
        <v>13.09</v>
      </c>
      <c r="G13" s="5">
        <v>7642</v>
      </c>
      <c r="H13" s="5"/>
    </row>
    <row r="14" spans="1:8" x14ac:dyDescent="0.4">
      <c r="A14" s="4" t="s">
        <v>13</v>
      </c>
      <c r="B14" s="4" t="s">
        <v>14</v>
      </c>
      <c r="C14" s="5">
        <v>13</v>
      </c>
      <c r="D14" s="11">
        <v>46</v>
      </c>
      <c r="E14" s="5">
        <f t="shared" si="0"/>
        <v>0.92</v>
      </c>
      <c r="F14" s="5">
        <v>10.26</v>
      </c>
      <c r="G14" s="5">
        <v>7460</v>
      </c>
      <c r="H14" s="5"/>
    </row>
    <row r="15" spans="1:8" x14ac:dyDescent="0.4">
      <c r="A15" s="4" t="s">
        <v>13</v>
      </c>
      <c r="B15" s="4" t="s">
        <v>14</v>
      </c>
      <c r="C15" s="5">
        <v>14</v>
      </c>
      <c r="D15" s="5">
        <v>45.5</v>
      </c>
      <c r="E15" s="5">
        <f t="shared" si="0"/>
        <v>0.91</v>
      </c>
      <c r="F15" s="5">
        <v>10.119999999999999</v>
      </c>
      <c r="G15" s="5">
        <v>7442</v>
      </c>
      <c r="H15" s="5"/>
    </row>
    <row r="16" spans="1:8" x14ac:dyDescent="0.4">
      <c r="A16" s="4" t="s">
        <v>13</v>
      </c>
      <c r="B16" s="4" t="s">
        <v>14</v>
      </c>
      <c r="C16" s="5">
        <v>15</v>
      </c>
      <c r="D16" s="5">
        <v>47.5</v>
      </c>
      <c r="E16" s="5">
        <f t="shared" si="0"/>
        <v>0.95</v>
      </c>
      <c r="F16" s="5">
        <v>10.5</v>
      </c>
      <c r="G16" s="5">
        <v>7459</v>
      </c>
      <c r="H16" s="5"/>
    </row>
    <row r="17" spans="1:8" x14ac:dyDescent="0.4">
      <c r="A17" s="4" t="s">
        <v>13</v>
      </c>
      <c r="B17" s="4" t="s">
        <v>14</v>
      </c>
      <c r="C17" s="5">
        <v>16</v>
      </c>
      <c r="D17" s="11">
        <v>45</v>
      </c>
      <c r="E17" s="5">
        <f t="shared" si="0"/>
        <v>0.9</v>
      </c>
      <c r="F17" s="5">
        <v>10.62</v>
      </c>
      <c r="G17" s="5">
        <v>7465</v>
      </c>
      <c r="H17" s="5"/>
    </row>
    <row r="18" spans="1:8" x14ac:dyDescent="0.4">
      <c r="A18" s="4" t="s">
        <v>13</v>
      </c>
      <c r="B18" s="4" t="s">
        <v>14</v>
      </c>
      <c r="C18" s="5">
        <v>17</v>
      </c>
      <c r="D18" s="5">
        <v>42.5</v>
      </c>
      <c r="E18" s="5">
        <f t="shared" si="0"/>
        <v>0.85</v>
      </c>
      <c r="F18" s="5">
        <v>12.28</v>
      </c>
      <c r="G18" s="5">
        <v>7556</v>
      </c>
      <c r="H18" s="5"/>
    </row>
    <row r="19" spans="1:8" x14ac:dyDescent="0.4">
      <c r="A19" s="4" t="s">
        <v>13</v>
      </c>
      <c r="B19" s="4" t="s">
        <v>14</v>
      </c>
      <c r="C19" s="5">
        <v>18</v>
      </c>
      <c r="D19" s="5">
        <v>48</v>
      </c>
      <c r="E19" s="5">
        <f t="shared" si="0"/>
        <v>0.96</v>
      </c>
      <c r="F19" s="5">
        <v>10.45</v>
      </c>
      <c r="G19" s="5">
        <v>7427</v>
      </c>
      <c r="H19" s="5"/>
    </row>
    <row r="20" spans="1:8" x14ac:dyDescent="0.4">
      <c r="A20" s="4" t="s">
        <v>13</v>
      </c>
      <c r="B20" s="4" t="s">
        <v>14</v>
      </c>
      <c r="C20" s="5">
        <v>19</v>
      </c>
      <c r="D20" s="11">
        <v>46</v>
      </c>
      <c r="E20" s="5">
        <f t="shared" si="0"/>
        <v>0.92</v>
      </c>
      <c r="F20" s="5">
        <v>17.53</v>
      </c>
      <c r="G20" s="5">
        <v>7813</v>
      </c>
      <c r="H20" s="5"/>
    </row>
    <row r="21" spans="1:8" x14ac:dyDescent="0.4">
      <c r="A21" s="4" t="s">
        <v>13</v>
      </c>
      <c r="B21" s="4" t="s">
        <v>14</v>
      </c>
      <c r="C21" s="5">
        <v>20</v>
      </c>
      <c r="D21" s="5">
        <v>43</v>
      </c>
      <c r="E21" s="5">
        <f t="shared" si="0"/>
        <v>0.86</v>
      </c>
      <c r="F21" s="5">
        <v>9.51</v>
      </c>
      <c r="G21" s="5">
        <v>7395</v>
      </c>
      <c r="H21" s="5"/>
    </row>
    <row r="22" spans="1:8" x14ac:dyDescent="0.4">
      <c r="A22" s="4" t="s">
        <v>13</v>
      </c>
      <c r="B22" s="4" t="s">
        <v>14</v>
      </c>
      <c r="C22" s="5">
        <v>21</v>
      </c>
      <c r="D22" s="5">
        <v>48.5</v>
      </c>
      <c r="E22" s="5">
        <f t="shared" si="0"/>
        <v>0.97</v>
      </c>
      <c r="F22" s="5">
        <v>17.690000000000001</v>
      </c>
      <c r="G22" s="5">
        <v>7693</v>
      </c>
      <c r="H22" s="5"/>
    </row>
    <row r="23" spans="1:8" x14ac:dyDescent="0.4">
      <c r="A23" s="4" t="s">
        <v>13</v>
      </c>
      <c r="B23" s="4" t="s">
        <v>14</v>
      </c>
      <c r="C23" s="5">
        <v>22</v>
      </c>
      <c r="D23" s="11">
        <v>47</v>
      </c>
      <c r="E23" s="5">
        <f t="shared" si="0"/>
        <v>0.94</v>
      </c>
      <c r="F23" s="5">
        <v>11.77</v>
      </c>
      <c r="G23" s="5">
        <v>7467</v>
      </c>
      <c r="H23" s="5"/>
    </row>
    <row r="24" spans="1:8" x14ac:dyDescent="0.4">
      <c r="A24" s="4" t="s">
        <v>13</v>
      </c>
      <c r="B24" s="4" t="s">
        <v>14</v>
      </c>
      <c r="C24" s="5">
        <v>23</v>
      </c>
      <c r="D24" s="5">
        <v>43.5</v>
      </c>
      <c r="E24" s="5">
        <f t="shared" si="0"/>
        <v>0.87</v>
      </c>
      <c r="F24" s="5">
        <v>12.58</v>
      </c>
      <c r="G24" s="5">
        <v>7576</v>
      </c>
      <c r="H24" s="5"/>
    </row>
    <row r="25" spans="1:8" x14ac:dyDescent="0.4">
      <c r="A25" s="4" t="s">
        <v>13</v>
      </c>
      <c r="B25" s="4" t="s">
        <v>14</v>
      </c>
      <c r="C25" s="5">
        <v>24</v>
      </c>
      <c r="D25" s="5">
        <v>48</v>
      </c>
      <c r="E25" s="5">
        <f t="shared" si="0"/>
        <v>0.96</v>
      </c>
      <c r="F25" s="5">
        <v>12.68</v>
      </c>
      <c r="G25" s="5">
        <v>7473</v>
      </c>
      <c r="H25" s="5"/>
    </row>
    <row r="26" spans="1:8" x14ac:dyDescent="0.4">
      <c r="A26" s="4" t="s">
        <v>13</v>
      </c>
      <c r="B26" s="4" t="s">
        <v>14</v>
      </c>
      <c r="C26" s="5">
        <v>25</v>
      </c>
      <c r="D26" s="11">
        <v>46</v>
      </c>
      <c r="E26" s="5">
        <f t="shared" si="0"/>
        <v>0.92</v>
      </c>
      <c r="F26" s="5">
        <v>10.48</v>
      </c>
      <c r="G26" s="5">
        <v>7475</v>
      </c>
      <c r="H26" s="5"/>
    </row>
    <row r="27" spans="1:8" x14ac:dyDescent="0.4">
      <c r="A27" s="4" t="s">
        <v>13</v>
      </c>
      <c r="B27" s="4" t="s">
        <v>14</v>
      </c>
      <c r="C27" s="5">
        <v>26</v>
      </c>
      <c r="D27" s="5">
        <v>42</v>
      </c>
      <c r="E27" s="5">
        <f t="shared" si="0"/>
        <v>0.84</v>
      </c>
      <c r="F27" s="5">
        <v>14.99</v>
      </c>
      <c r="G27" s="5">
        <v>7938</v>
      </c>
      <c r="H27" s="5"/>
    </row>
    <row r="28" spans="1:8" x14ac:dyDescent="0.4">
      <c r="A28" s="4" t="s">
        <v>13</v>
      </c>
      <c r="B28" s="4" t="s">
        <v>14</v>
      </c>
      <c r="C28" s="5">
        <v>27</v>
      </c>
      <c r="D28" s="5">
        <v>49</v>
      </c>
      <c r="E28" s="5">
        <f t="shared" si="0"/>
        <v>0.98</v>
      </c>
      <c r="F28" s="5">
        <v>12.61</v>
      </c>
      <c r="G28" s="5">
        <v>7473</v>
      </c>
      <c r="H28" s="5"/>
    </row>
    <row r="29" spans="1:8" x14ac:dyDescent="0.4">
      <c r="A29" s="4" t="s">
        <v>13</v>
      </c>
      <c r="B29" s="4" t="s">
        <v>14</v>
      </c>
      <c r="C29" s="5">
        <v>28</v>
      </c>
      <c r="D29" s="11">
        <v>46</v>
      </c>
      <c r="E29" s="5">
        <f t="shared" si="0"/>
        <v>0.92</v>
      </c>
      <c r="F29" s="5">
        <v>11.8</v>
      </c>
      <c r="G29" s="5">
        <v>7490</v>
      </c>
      <c r="H29" s="5"/>
    </row>
    <row r="30" spans="1:8" x14ac:dyDescent="0.4">
      <c r="A30" s="4" t="s">
        <v>13</v>
      </c>
      <c r="B30" s="4" t="s">
        <v>14</v>
      </c>
      <c r="C30" s="5">
        <v>29</v>
      </c>
      <c r="D30" s="5">
        <v>46</v>
      </c>
      <c r="E30" s="5">
        <f t="shared" si="0"/>
        <v>0.92</v>
      </c>
      <c r="F30" s="5">
        <v>12.31</v>
      </c>
      <c r="G30" s="5">
        <v>7544</v>
      </c>
      <c r="H30" s="5"/>
    </row>
    <row r="31" spans="1:8" x14ac:dyDescent="0.4">
      <c r="A31" s="4" t="s">
        <v>13</v>
      </c>
      <c r="B31" s="4" t="s">
        <v>14</v>
      </c>
      <c r="C31" s="5">
        <v>30</v>
      </c>
      <c r="D31" s="5">
        <v>48</v>
      </c>
      <c r="E31" s="5">
        <f t="shared" si="0"/>
        <v>0.96</v>
      </c>
      <c r="F31" s="5">
        <v>12.05</v>
      </c>
      <c r="G31" s="5">
        <v>7526</v>
      </c>
      <c r="H31" s="5"/>
    </row>
    <row r="32" spans="1:8" x14ac:dyDescent="0.4">
      <c r="A32" s="4" t="s">
        <v>15</v>
      </c>
      <c r="B32" s="4" t="s">
        <v>16</v>
      </c>
      <c r="C32" s="5">
        <v>1</v>
      </c>
      <c r="D32" s="11">
        <v>63</v>
      </c>
      <c r="E32" s="5">
        <f>D32/67.5</f>
        <v>0.93333333333333335</v>
      </c>
      <c r="F32" s="5">
        <v>17.71</v>
      </c>
      <c r="G32" s="5">
        <v>8205</v>
      </c>
      <c r="H32" s="5"/>
    </row>
    <row r="33" spans="1:8" x14ac:dyDescent="0.4">
      <c r="A33" s="4" t="s">
        <v>15</v>
      </c>
      <c r="B33" s="4" t="s">
        <v>16</v>
      </c>
      <c r="C33" s="5">
        <v>2</v>
      </c>
      <c r="D33" s="5">
        <v>61.5</v>
      </c>
      <c r="E33" s="5">
        <f t="shared" ref="E33:E61" si="1">D33/67.5</f>
        <v>0.91111111111111109</v>
      </c>
      <c r="F33" s="5">
        <v>17.11</v>
      </c>
      <c r="G33" s="5">
        <v>8096</v>
      </c>
      <c r="H33" s="5"/>
    </row>
    <row r="34" spans="1:8" x14ac:dyDescent="0.4">
      <c r="A34" s="4" t="s">
        <v>15</v>
      </c>
      <c r="B34" s="4" t="s">
        <v>16</v>
      </c>
      <c r="C34" s="5">
        <v>3</v>
      </c>
      <c r="D34" s="5">
        <v>65.5</v>
      </c>
      <c r="E34" s="5">
        <f t="shared" si="1"/>
        <v>0.97037037037037033</v>
      </c>
      <c r="F34" s="5">
        <v>14.68</v>
      </c>
      <c r="G34" s="5">
        <v>7841</v>
      </c>
      <c r="H34" s="5"/>
    </row>
    <row r="35" spans="1:8" x14ac:dyDescent="0.4">
      <c r="A35" s="4" t="s">
        <v>15</v>
      </c>
      <c r="B35" s="4" t="s">
        <v>16</v>
      </c>
      <c r="C35" s="5">
        <v>4</v>
      </c>
      <c r="D35" s="11">
        <v>61</v>
      </c>
      <c r="E35" s="5">
        <f t="shared" si="1"/>
        <v>0.90370370370370368</v>
      </c>
      <c r="F35" s="5">
        <v>15.78</v>
      </c>
      <c r="G35" s="5">
        <v>7964</v>
      </c>
      <c r="H35" s="5"/>
    </row>
    <row r="36" spans="1:8" x14ac:dyDescent="0.4">
      <c r="A36" s="4" t="s">
        <v>15</v>
      </c>
      <c r="B36" s="4" t="s">
        <v>16</v>
      </c>
      <c r="C36" s="5">
        <v>5</v>
      </c>
      <c r="D36" s="5">
        <v>62</v>
      </c>
      <c r="E36" s="5">
        <f t="shared" si="1"/>
        <v>0.91851851851851851</v>
      </c>
      <c r="F36" s="5">
        <v>16.079999999999998</v>
      </c>
      <c r="G36" s="5">
        <v>8010</v>
      </c>
      <c r="H36" s="5"/>
    </row>
    <row r="37" spans="1:8" x14ac:dyDescent="0.4">
      <c r="A37" s="4" t="s">
        <v>15</v>
      </c>
      <c r="B37" s="4" t="s">
        <v>16</v>
      </c>
      <c r="C37" s="5">
        <v>6</v>
      </c>
      <c r="D37" s="5">
        <v>66.5</v>
      </c>
      <c r="E37" s="5">
        <f t="shared" si="1"/>
        <v>0.98518518518518516</v>
      </c>
      <c r="F37" s="5">
        <v>14.37</v>
      </c>
      <c r="G37" s="5">
        <v>7889</v>
      </c>
      <c r="H37" s="5"/>
    </row>
    <row r="38" spans="1:8" x14ac:dyDescent="0.4">
      <c r="A38" s="4" t="s">
        <v>15</v>
      </c>
      <c r="B38" s="4" t="s">
        <v>16</v>
      </c>
      <c r="C38" s="5">
        <v>7</v>
      </c>
      <c r="D38" s="11">
        <v>62.5</v>
      </c>
      <c r="E38" s="5">
        <f t="shared" si="1"/>
        <v>0.92592592592592593</v>
      </c>
      <c r="F38" s="5">
        <v>17.12</v>
      </c>
      <c r="G38" s="5">
        <v>8096</v>
      </c>
      <c r="H38" s="5"/>
    </row>
    <row r="39" spans="1:8" x14ac:dyDescent="0.4">
      <c r="A39" s="4" t="s">
        <v>15</v>
      </c>
      <c r="B39" s="4" t="s">
        <v>16</v>
      </c>
      <c r="C39" s="5">
        <v>8</v>
      </c>
      <c r="D39" s="5">
        <v>57.5</v>
      </c>
      <c r="E39" s="5">
        <f t="shared" si="1"/>
        <v>0.85185185185185186</v>
      </c>
      <c r="F39" s="5">
        <v>16.52</v>
      </c>
      <c r="G39" s="5">
        <v>8318</v>
      </c>
      <c r="H39" s="5"/>
    </row>
    <row r="40" spans="1:8" x14ac:dyDescent="0.4">
      <c r="A40" s="4" t="s">
        <v>15</v>
      </c>
      <c r="B40" s="4" t="s">
        <v>16</v>
      </c>
      <c r="C40" s="5">
        <v>9</v>
      </c>
      <c r="D40" s="5">
        <v>65.5</v>
      </c>
      <c r="E40" s="5">
        <f t="shared" si="1"/>
        <v>0.97037037037037033</v>
      </c>
      <c r="F40" s="5">
        <v>13.56</v>
      </c>
      <c r="G40" s="5">
        <v>7907</v>
      </c>
      <c r="H40" s="5"/>
    </row>
    <row r="41" spans="1:8" x14ac:dyDescent="0.4">
      <c r="A41" s="4" t="s">
        <v>15</v>
      </c>
      <c r="B41" s="4" t="s">
        <v>16</v>
      </c>
      <c r="C41" s="5">
        <v>10</v>
      </c>
      <c r="D41" s="11">
        <v>62.5</v>
      </c>
      <c r="E41" s="5">
        <f t="shared" si="1"/>
        <v>0.92592592592592593</v>
      </c>
      <c r="F41" s="5">
        <v>14.54</v>
      </c>
      <c r="G41" s="5">
        <v>7945</v>
      </c>
      <c r="H41" s="5"/>
    </row>
    <row r="42" spans="1:8" x14ac:dyDescent="0.4">
      <c r="A42" s="4" t="s">
        <v>15</v>
      </c>
      <c r="B42" s="4" t="s">
        <v>16</v>
      </c>
      <c r="C42" s="5">
        <v>11</v>
      </c>
      <c r="D42" s="5">
        <v>62</v>
      </c>
      <c r="E42" s="5">
        <f t="shared" si="1"/>
        <v>0.91851851851851851</v>
      </c>
      <c r="F42" s="5">
        <v>14.7</v>
      </c>
      <c r="G42" s="5">
        <v>8043</v>
      </c>
      <c r="H42" s="5"/>
    </row>
    <row r="43" spans="1:8" x14ac:dyDescent="0.4">
      <c r="A43" s="4" t="s">
        <v>15</v>
      </c>
      <c r="B43" s="4" t="s">
        <v>16</v>
      </c>
      <c r="C43" s="5">
        <v>12</v>
      </c>
      <c r="D43" s="5">
        <v>64.5</v>
      </c>
      <c r="E43" s="5">
        <f t="shared" si="1"/>
        <v>0.9555555555555556</v>
      </c>
      <c r="F43" s="5">
        <v>16.989999999999998</v>
      </c>
      <c r="G43" s="5">
        <v>8302</v>
      </c>
      <c r="H43" s="5"/>
    </row>
    <row r="44" spans="1:8" x14ac:dyDescent="0.4">
      <c r="A44" s="4" t="s">
        <v>15</v>
      </c>
      <c r="B44" s="4" t="s">
        <v>16</v>
      </c>
      <c r="C44" s="5">
        <v>13</v>
      </c>
      <c r="D44" s="11">
        <v>62.5</v>
      </c>
      <c r="E44" s="5">
        <f t="shared" si="1"/>
        <v>0.92592592592592593</v>
      </c>
      <c r="F44" s="5">
        <v>14.01</v>
      </c>
      <c r="G44" s="5">
        <v>7979</v>
      </c>
      <c r="H44" s="5"/>
    </row>
    <row r="45" spans="1:8" x14ac:dyDescent="0.4">
      <c r="A45" s="4" t="s">
        <v>15</v>
      </c>
      <c r="B45" s="4" t="s">
        <v>16</v>
      </c>
      <c r="C45" s="5">
        <v>14</v>
      </c>
      <c r="D45" s="5">
        <v>61.5</v>
      </c>
      <c r="E45" s="5">
        <f t="shared" si="1"/>
        <v>0.91111111111111109</v>
      </c>
      <c r="F45" s="5">
        <v>14.96</v>
      </c>
      <c r="G45" s="5">
        <v>8039</v>
      </c>
      <c r="H45" s="5"/>
    </row>
    <row r="46" spans="1:8" x14ac:dyDescent="0.4">
      <c r="A46" s="4" t="s">
        <v>15</v>
      </c>
      <c r="B46" s="4" t="s">
        <v>16</v>
      </c>
      <c r="C46" s="5">
        <v>15</v>
      </c>
      <c r="D46" s="5">
        <v>65.5</v>
      </c>
      <c r="E46" s="5">
        <f t="shared" si="1"/>
        <v>0.97037037037037033</v>
      </c>
      <c r="F46" s="5">
        <v>14.72</v>
      </c>
      <c r="G46" s="5">
        <v>7912</v>
      </c>
      <c r="H46" s="5"/>
    </row>
    <row r="47" spans="1:8" x14ac:dyDescent="0.4">
      <c r="A47" s="4" t="s">
        <v>15</v>
      </c>
      <c r="B47" s="4" t="s">
        <v>16</v>
      </c>
      <c r="C47" s="5">
        <v>16</v>
      </c>
      <c r="D47" s="11">
        <v>63</v>
      </c>
      <c r="E47" s="5">
        <f t="shared" si="1"/>
        <v>0.93333333333333335</v>
      </c>
      <c r="F47" s="5">
        <v>16.3</v>
      </c>
      <c r="G47" s="5">
        <v>8090</v>
      </c>
      <c r="H47" s="5"/>
    </row>
    <row r="48" spans="1:8" x14ac:dyDescent="0.4">
      <c r="A48" s="4" t="s">
        <v>15</v>
      </c>
      <c r="B48" s="4" t="s">
        <v>16</v>
      </c>
      <c r="C48" s="5">
        <v>17</v>
      </c>
      <c r="D48" s="5">
        <v>62</v>
      </c>
      <c r="E48" s="5">
        <f t="shared" si="1"/>
        <v>0.91851851851851851</v>
      </c>
      <c r="F48" s="5">
        <v>14.82</v>
      </c>
      <c r="G48" s="5">
        <v>7902</v>
      </c>
      <c r="H48" s="5"/>
    </row>
    <row r="49" spans="1:8" x14ac:dyDescent="0.4">
      <c r="A49" s="4" t="s">
        <v>15</v>
      </c>
      <c r="B49" s="4" t="s">
        <v>16</v>
      </c>
      <c r="C49" s="5">
        <v>18</v>
      </c>
      <c r="D49" s="5">
        <v>66.5</v>
      </c>
      <c r="E49" s="5">
        <f t="shared" si="1"/>
        <v>0.98518518518518516</v>
      </c>
      <c r="F49" s="5">
        <v>15.77</v>
      </c>
      <c r="G49" s="5">
        <v>7963</v>
      </c>
      <c r="H49" s="5"/>
    </row>
    <row r="50" spans="1:8" x14ac:dyDescent="0.4">
      <c r="A50" s="4" t="s">
        <v>15</v>
      </c>
      <c r="B50" s="4" t="s">
        <v>16</v>
      </c>
      <c r="C50" s="5">
        <v>19</v>
      </c>
      <c r="D50" s="11">
        <v>64</v>
      </c>
      <c r="E50" s="5">
        <f t="shared" si="1"/>
        <v>0.94814814814814818</v>
      </c>
      <c r="F50" s="5">
        <v>16.68</v>
      </c>
      <c r="G50" s="5">
        <v>8112</v>
      </c>
      <c r="H50" s="5"/>
    </row>
    <row r="51" spans="1:8" x14ac:dyDescent="0.4">
      <c r="A51" s="4" t="s">
        <v>15</v>
      </c>
      <c r="B51" s="4" t="s">
        <v>16</v>
      </c>
      <c r="C51" s="5">
        <v>20</v>
      </c>
      <c r="D51" s="5">
        <v>62</v>
      </c>
      <c r="E51" s="5">
        <f t="shared" si="1"/>
        <v>0.91851851851851851</v>
      </c>
      <c r="F51" s="5">
        <v>12.75</v>
      </c>
      <c r="G51" s="5">
        <v>7944</v>
      </c>
      <c r="H51" s="5"/>
    </row>
    <row r="52" spans="1:8" x14ac:dyDescent="0.4">
      <c r="A52" s="4" t="s">
        <v>15</v>
      </c>
      <c r="B52" s="4" t="s">
        <v>16</v>
      </c>
      <c r="C52" s="5">
        <v>21</v>
      </c>
      <c r="D52" s="5">
        <v>66.5</v>
      </c>
      <c r="E52" s="5">
        <f t="shared" si="1"/>
        <v>0.98518518518518516</v>
      </c>
      <c r="F52" s="5">
        <v>15.31</v>
      </c>
      <c r="G52" s="5">
        <v>7984</v>
      </c>
      <c r="H52" s="5"/>
    </row>
    <row r="53" spans="1:8" x14ac:dyDescent="0.4">
      <c r="A53" s="4" t="s">
        <v>15</v>
      </c>
      <c r="B53" s="4" t="s">
        <v>16</v>
      </c>
      <c r="C53" s="5">
        <v>22</v>
      </c>
      <c r="D53" s="11">
        <v>64</v>
      </c>
      <c r="E53" s="5">
        <f t="shared" si="1"/>
        <v>0.94814814814814818</v>
      </c>
      <c r="F53" s="5">
        <v>16.39</v>
      </c>
      <c r="G53" s="5">
        <v>8121</v>
      </c>
      <c r="H53" s="5"/>
    </row>
    <row r="54" spans="1:8" x14ac:dyDescent="0.4">
      <c r="A54" s="4" t="s">
        <v>15</v>
      </c>
      <c r="B54" s="4" t="s">
        <v>16</v>
      </c>
      <c r="C54" s="5">
        <v>23</v>
      </c>
      <c r="D54" s="5">
        <v>60</v>
      </c>
      <c r="E54" s="5">
        <f t="shared" si="1"/>
        <v>0.88888888888888884</v>
      </c>
      <c r="F54" s="5">
        <v>14.38</v>
      </c>
      <c r="G54" s="5">
        <v>7911</v>
      </c>
      <c r="H54" s="5"/>
    </row>
    <row r="55" spans="1:8" x14ac:dyDescent="0.4">
      <c r="A55" s="4" t="s">
        <v>15</v>
      </c>
      <c r="B55" s="4" t="s">
        <v>16</v>
      </c>
      <c r="C55" s="5">
        <v>24</v>
      </c>
      <c r="D55" s="5">
        <v>65.5</v>
      </c>
      <c r="E55" s="5">
        <f t="shared" si="1"/>
        <v>0.97037037037037033</v>
      </c>
      <c r="F55" s="5">
        <v>15.74</v>
      </c>
      <c r="G55" s="5">
        <v>8264</v>
      </c>
      <c r="H55" s="5"/>
    </row>
    <row r="56" spans="1:8" x14ac:dyDescent="0.4">
      <c r="A56" s="4" t="s">
        <v>15</v>
      </c>
      <c r="B56" s="4" t="s">
        <v>16</v>
      </c>
      <c r="C56" s="5">
        <v>25</v>
      </c>
      <c r="D56" s="11">
        <v>63.5</v>
      </c>
      <c r="E56" s="5">
        <f t="shared" si="1"/>
        <v>0.94074074074074077</v>
      </c>
      <c r="F56" s="5">
        <v>14.67</v>
      </c>
      <c r="G56" s="5">
        <v>7977</v>
      </c>
      <c r="H56" s="5"/>
    </row>
    <row r="57" spans="1:8" x14ac:dyDescent="0.4">
      <c r="A57" s="4" t="s">
        <v>15</v>
      </c>
      <c r="B57" s="4" t="s">
        <v>16</v>
      </c>
      <c r="C57" s="5">
        <v>26</v>
      </c>
      <c r="D57" s="5">
        <v>61.5</v>
      </c>
      <c r="E57" s="5">
        <f t="shared" si="1"/>
        <v>0.91111111111111109</v>
      </c>
      <c r="F57" s="5">
        <v>17.260000000000002</v>
      </c>
      <c r="G57" s="5">
        <v>8222</v>
      </c>
      <c r="H57" s="5"/>
    </row>
    <row r="58" spans="1:8" x14ac:dyDescent="0.4">
      <c r="A58" s="4" t="s">
        <v>15</v>
      </c>
      <c r="B58" s="4" t="s">
        <v>16</v>
      </c>
      <c r="C58" s="5">
        <v>27</v>
      </c>
      <c r="D58" s="5">
        <v>66.5</v>
      </c>
      <c r="E58" s="5">
        <f t="shared" si="1"/>
        <v>0.98518518518518516</v>
      </c>
      <c r="F58" s="5">
        <v>15.99</v>
      </c>
      <c r="G58" s="5">
        <v>8281</v>
      </c>
      <c r="H58" s="5"/>
    </row>
    <row r="59" spans="1:8" x14ac:dyDescent="0.4">
      <c r="A59" s="4" t="s">
        <v>15</v>
      </c>
      <c r="B59" s="4" t="s">
        <v>16</v>
      </c>
      <c r="C59" s="5">
        <v>28</v>
      </c>
      <c r="D59" s="11">
        <v>63.5</v>
      </c>
      <c r="E59" s="5">
        <f t="shared" si="1"/>
        <v>0.94074074074074077</v>
      </c>
      <c r="F59" s="5">
        <v>15.18</v>
      </c>
      <c r="G59" s="5">
        <v>8070</v>
      </c>
      <c r="H59" s="5"/>
    </row>
    <row r="60" spans="1:8" x14ac:dyDescent="0.4">
      <c r="A60" s="4" t="s">
        <v>15</v>
      </c>
      <c r="B60" s="4" t="s">
        <v>16</v>
      </c>
      <c r="C60" s="5">
        <v>29</v>
      </c>
      <c r="D60" s="5">
        <v>60</v>
      </c>
      <c r="E60" s="5">
        <f t="shared" si="1"/>
        <v>0.88888888888888884</v>
      </c>
      <c r="F60" s="5">
        <v>14.86</v>
      </c>
      <c r="G60" s="5">
        <v>7951</v>
      </c>
      <c r="H60" s="5"/>
    </row>
    <row r="61" spans="1:8" x14ac:dyDescent="0.4">
      <c r="A61" s="4" t="s">
        <v>15</v>
      </c>
      <c r="B61" s="4" t="s">
        <v>16</v>
      </c>
      <c r="C61" s="5">
        <v>30</v>
      </c>
      <c r="D61" s="5">
        <v>66.5</v>
      </c>
      <c r="E61" s="5">
        <f t="shared" si="1"/>
        <v>0.98518518518518516</v>
      </c>
      <c r="F61" s="5">
        <v>14.48</v>
      </c>
      <c r="G61" s="5">
        <v>8036</v>
      </c>
      <c r="H61" s="5"/>
    </row>
    <row r="62" spans="1:8" x14ac:dyDescent="0.4">
      <c r="A62" s="4" t="s">
        <v>17</v>
      </c>
      <c r="B62" s="4" t="s">
        <v>18</v>
      </c>
      <c r="C62" s="5">
        <v>1</v>
      </c>
      <c r="D62" s="11">
        <v>55.5</v>
      </c>
      <c r="E62" s="5">
        <f>D62/60</f>
        <v>0.92500000000000004</v>
      </c>
      <c r="F62" s="5">
        <v>33.869999999999997</v>
      </c>
      <c r="G62" s="5">
        <v>8988</v>
      </c>
      <c r="H62" s="5"/>
    </row>
    <row r="63" spans="1:8" x14ac:dyDescent="0.4">
      <c r="A63" s="4" t="s">
        <v>17</v>
      </c>
      <c r="B63" s="4" t="s">
        <v>18</v>
      </c>
      <c r="C63" s="5">
        <v>2</v>
      </c>
      <c r="D63" s="5">
        <v>53.5</v>
      </c>
      <c r="E63" s="5">
        <f t="shared" ref="E63:E126" si="2">D63/60</f>
        <v>0.89166666666666672</v>
      </c>
      <c r="F63" s="5">
        <v>32.74</v>
      </c>
      <c r="G63" s="5">
        <v>8905</v>
      </c>
      <c r="H63" s="5"/>
    </row>
    <row r="64" spans="1:8" x14ac:dyDescent="0.4">
      <c r="A64" s="4" t="s">
        <v>17</v>
      </c>
      <c r="B64" s="4" t="s">
        <v>18</v>
      </c>
      <c r="C64" s="5">
        <v>3</v>
      </c>
      <c r="D64" s="5">
        <v>58</v>
      </c>
      <c r="E64" s="5">
        <f t="shared" si="2"/>
        <v>0.96666666666666667</v>
      </c>
      <c r="F64" s="5">
        <v>21.9</v>
      </c>
      <c r="G64" s="5">
        <v>8433</v>
      </c>
      <c r="H64" s="5"/>
    </row>
    <row r="65" spans="1:8" x14ac:dyDescent="0.4">
      <c r="A65" s="4" t="s">
        <v>17</v>
      </c>
      <c r="B65" s="4" t="s">
        <v>18</v>
      </c>
      <c r="C65" s="5">
        <v>4</v>
      </c>
      <c r="D65" s="11">
        <v>54.5</v>
      </c>
      <c r="E65" s="5">
        <f t="shared" si="2"/>
        <v>0.90833333333333333</v>
      </c>
      <c r="F65" s="5">
        <v>21.14</v>
      </c>
      <c r="G65" s="5">
        <v>8209</v>
      </c>
      <c r="H65" s="5"/>
    </row>
    <row r="66" spans="1:8" x14ac:dyDescent="0.4">
      <c r="A66" s="4" t="s">
        <v>17</v>
      </c>
      <c r="B66" s="4" t="s">
        <v>18</v>
      </c>
      <c r="C66" s="5">
        <v>5</v>
      </c>
      <c r="D66" s="5">
        <v>47</v>
      </c>
      <c r="E66" s="5">
        <f t="shared" si="2"/>
        <v>0.78333333333333333</v>
      </c>
      <c r="F66" s="5">
        <v>27.34</v>
      </c>
      <c r="G66" s="5">
        <v>8618</v>
      </c>
      <c r="H66" s="5"/>
    </row>
    <row r="67" spans="1:8" x14ac:dyDescent="0.4">
      <c r="A67" s="4" t="s">
        <v>17</v>
      </c>
      <c r="B67" s="4" t="s">
        <v>18</v>
      </c>
      <c r="C67" s="5">
        <v>6</v>
      </c>
      <c r="D67" s="5">
        <v>58</v>
      </c>
      <c r="E67" s="5">
        <f t="shared" si="2"/>
        <v>0.96666666666666667</v>
      </c>
      <c r="F67" s="5">
        <v>26.24</v>
      </c>
      <c r="G67" s="5">
        <v>8523</v>
      </c>
      <c r="H67" s="5"/>
    </row>
    <row r="68" spans="1:8" x14ac:dyDescent="0.4">
      <c r="A68" s="4" t="s">
        <v>17</v>
      </c>
      <c r="B68" s="4" t="s">
        <v>18</v>
      </c>
      <c r="C68" s="5">
        <v>7</v>
      </c>
      <c r="D68" s="11">
        <v>48.5</v>
      </c>
      <c r="E68" s="5">
        <f t="shared" si="2"/>
        <v>0.80833333333333335</v>
      </c>
      <c r="F68" s="5">
        <v>26.23</v>
      </c>
      <c r="G68" s="5">
        <v>8560</v>
      </c>
      <c r="H68" s="5"/>
    </row>
    <row r="69" spans="1:8" x14ac:dyDescent="0.4">
      <c r="A69" s="4" t="s">
        <v>17</v>
      </c>
      <c r="B69" s="4" t="s">
        <v>18</v>
      </c>
      <c r="C69" s="5">
        <v>8</v>
      </c>
      <c r="D69" s="5">
        <v>49.5</v>
      </c>
      <c r="E69" s="5">
        <f t="shared" si="2"/>
        <v>0.82499999999999996</v>
      </c>
      <c r="F69" s="5">
        <v>32.71</v>
      </c>
      <c r="G69" s="5">
        <v>9020</v>
      </c>
      <c r="H69" s="5"/>
    </row>
    <row r="70" spans="1:8" x14ac:dyDescent="0.4">
      <c r="A70" s="4" t="s">
        <v>17</v>
      </c>
      <c r="B70" s="4" t="s">
        <v>18</v>
      </c>
      <c r="C70" s="5">
        <v>9</v>
      </c>
      <c r="D70" s="5">
        <v>52</v>
      </c>
      <c r="E70" s="5">
        <f t="shared" si="2"/>
        <v>0.8666666666666667</v>
      </c>
      <c r="F70" s="5">
        <v>22.91</v>
      </c>
      <c r="G70" s="5">
        <v>8171</v>
      </c>
      <c r="H70" s="5"/>
    </row>
    <row r="71" spans="1:8" x14ac:dyDescent="0.4">
      <c r="A71" s="4" t="s">
        <v>17</v>
      </c>
      <c r="B71" s="4" t="s">
        <v>18</v>
      </c>
      <c r="C71" s="5">
        <v>10</v>
      </c>
      <c r="D71" s="11">
        <v>56.5</v>
      </c>
      <c r="E71" s="5">
        <f t="shared" si="2"/>
        <v>0.94166666666666665</v>
      </c>
      <c r="F71" s="5">
        <v>19.59</v>
      </c>
      <c r="G71" s="5">
        <v>8415</v>
      </c>
      <c r="H71" s="5"/>
    </row>
    <row r="72" spans="1:8" x14ac:dyDescent="0.4">
      <c r="A72" s="4" t="s">
        <v>17</v>
      </c>
      <c r="B72" s="4" t="s">
        <v>18</v>
      </c>
      <c r="C72" s="5">
        <v>11</v>
      </c>
      <c r="D72" s="5">
        <v>49</v>
      </c>
      <c r="E72" s="5">
        <f t="shared" si="2"/>
        <v>0.81666666666666665</v>
      </c>
      <c r="F72" s="5">
        <v>24.18</v>
      </c>
      <c r="G72" s="5">
        <v>8455</v>
      </c>
      <c r="H72" s="5"/>
    </row>
    <row r="73" spans="1:8" x14ac:dyDescent="0.4">
      <c r="A73" s="4" t="s">
        <v>17</v>
      </c>
      <c r="B73" s="4" t="s">
        <v>18</v>
      </c>
      <c r="C73" s="5">
        <v>12</v>
      </c>
      <c r="D73" s="5">
        <v>56</v>
      </c>
      <c r="E73" s="5">
        <f t="shared" si="2"/>
        <v>0.93333333333333335</v>
      </c>
      <c r="F73" s="5">
        <v>15.19</v>
      </c>
      <c r="G73" s="5">
        <v>7943</v>
      </c>
      <c r="H73" s="5"/>
    </row>
    <row r="74" spans="1:8" x14ac:dyDescent="0.4">
      <c r="A74" s="4" t="s">
        <v>17</v>
      </c>
      <c r="B74" s="4" t="s">
        <v>18</v>
      </c>
      <c r="C74" s="5">
        <v>13</v>
      </c>
      <c r="D74" s="11">
        <v>50.5</v>
      </c>
      <c r="E74" s="5">
        <f t="shared" si="2"/>
        <v>0.84166666666666667</v>
      </c>
      <c r="F74" s="5">
        <v>26.11</v>
      </c>
      <c r="G74" s="5">
        <v>8722</v>
      </c>
      <c r="H74" s="5"/>
    </row>
    <row r="75" spans="1:8" x14ac:dyDescent="0.4">
      <c r="A75" s="4" t="s">
        <v>17</v>
      </c>
      <c r="B75" s="4" t="s">
        <v>18</v>
      </c>
      <c r="C75" s="5">
        <v>14</v>
      </c>
      <c r="D75" s="5">
        <v>52</v>
      </c>
      <c r="E75" s="5">
        <f t="shared" si="2"/>
        <v>0.8666666666666667</v>
      </c>
      <c r="F75" s="5">
        <v>27.7</v>
      </c>
      <c r="G75" s="5">
        <v>8939</v>
      </c>
      <c r="H75" s="5"/>
    </row>
    <row r="76" spans="1:8" x14ac:dyDescent="0.4">
      <c r="A76" s="4" t="s">
        <v>17</v>
      </c>
      <c r="B76" s="4" t="s">
        <v>18</v>
      </c>
      <c r="C76" s="5">
        <v>15</v>
      </c>
      <c r="D76" s="5">
        <v>57</v>
      </c>
      <c r="E76" s="5">
        <f t="shared" si="2"/>
        <v>0.95</v>
      </c>
      <c r="F76" s="5">
        <v>26.13</v>
      </c>
      <c r="G76" s="5">
        <v>8642</v>
      </c>
      <c r="H76" s="5"/>
    </row>
    <row r="77" spans="1:8" x14ac:dyDescent="0.4">
      <c r="A77" s="4" t="s">
        <v>17</v>
      </c>
      <c r="B77" s="4" t="s">
        <v>18</v>
      </c>
      <c r="C77" s="5">
        <v>16</v>
      </c>
      <c r="D77" s="11">
        <v>51.5</v>
      </c>
      <c r="E77" s="5">
        <f t="shared" si="2"/>
        <v>0.85833333333333328</v>
      </c>
      <c r="F77" s="5">
        <v>17.22</v>
      </c>
      <c r="G77" s="5">
        <v>7974</v>
      </c>
      <c r="H77" s="5"/>
    </row>
    <row r="78" spans="1:8" x14ac:dyDescent="0.4">
      <c r="A78" s="4" t="s">
        <v>17</v>
      </c>
      <c r="B78" s="4" t="s">
        <v>18</v>
      </c>
      <c r="C78" s="5">
        <v>17</v>
      </c>
      <c r="D78" s="5">
        <v>52.5</v>
      </c>
      <c r="E78" s="5">
        <f t="shared" si="2"/>
        <v>0.875</v>
      </c>
      <c r="F78" s="5">
        <v>22.76</v>
      </c>
      <c r="G78" s="5">
        <v>8454</v>
      </c>
      <c r="H78" s="5"/>
    </row>
    <row r="79" spans="1:8" x14ac:dyDescent="0.4">
      <c r="A79" s="4" t="s">
        <v>17</v>
      </c>
      <c r="B79" s="4" t="s">
        <v>18</v>
      </c>
      <c r="C79" s="5">
        <v>18</v>
      </c>
      <c r="D79" s="5" t="s">
        <v>53</v>
      </c>
      <c r="E79" s="5"/>
      <c r="F79" s="5">
        <v>14.65</v>
      </c>
      <c r="G79" s="5">
        <v>7794</v>
      </c>
      <c r="H79" s="5" t="s">
        <v>12</v>
      </c>
    </row>
    <row r="80" spans="1:8" x14ac:dyDescent="0.4">
      <c r="A80" s="4" t="s">
        <v>17</v>
      </c>
      <c r="B80" s="4" t="s">
        <v>18</v>
      </c>
      <c r="C80" s="5">
        <v>19</v>
      </c>
      <c r="D80" s="11" t="s">
        <v>53</v>
      </c>
      <c r="E80" s="5"/>
      <c r="F80" s="5">
        <v>25.14</v>
      </c>
      <c r="G80" s="5">
        <v>8598</v>
      </c>
      <c r="H80" s="5" t="s">
        <v>12</v>
      </c>
    </row>
    <row r="81" spans="1:8" x14ac:dyDescent="0.4">
      <c r="A81" s="4" t="s">
        <v>17</v>
      </c>
      <c r="B81" s="4" t="s">
        <v>18</v>
      </c>
      <c r="C81" s="5">
        <v>20</v>
      </c>
      <c r="D81" s="5">
        <v>42.5</v>
      </c>
      <c r="E81" s="5">
        <f t="shared" si="2"/>
        <v>0.70833333333333337</v>
      </c>
      <c r="F81" s="5">
        <v>19.86</v>
      </c>
      <c r="G81" s="5">
        <v>8250</v>
      </c>
      <c r="H81" s="5"/>
    </row>
    <row r="82" spans="1:8" x14ac:dyDescent="0.4">
      <c r="A82" s="4" t="s">
        <v>17</v>
      </c>
      <c r="B82" s="4" t="s">
        <v>18</v>
      </c>
      <c r="C82" s="5">
        <v>21</v>
      </c>
      <c r="D82" s="5" t="s">
        <v>53</v>
      </c>
      <c r="E82" s="5"/>
      <c r="F82" s="5">
        <v>16.88</v>
      </c>
      <c r="G82" s="5">
        <v>7930</v>
      </c>
      <c r="H82" s="5" t="s">
        <v>12</v>
      </c>
    </row>
    <row r="83" spans="1:8" x14ac:dyDescent="0.4">
      <c r="A83" s="4" t="s">
        <v>17</v>
      </c>
      <c r="B83" s="4" t="s">
        <v>18</v>
      </c>
      <c r="C83" s="5">
        <v>22</v>
      </c>
      <c r="D83" s="11">
        <v>47.5</v>
      </c>
      <c r="E83" s="5">
        <f t="shared" si="2"/>
        <v>0.79166666666666663</v>
      </c>
      <c r="F83" s="5">
        <v>22.76</v>
      </c>
      <c r="G83" s="5">
        <v>8431</v>
      </c>
      <c r="H83" s="5"/>
    </row>
    <row r="84" spans="1:8" x14ac:dyDescent="0.4">
      <c r="A84" s="4" t="s">
        <v>17</v>
      </c>
      <c r="B84" s="4" t="s">
        <v>18</v>
      </c>
      <c r="C84" s="5">
        <v>23</v>
      </c>
      <c r="D84" s="5">
        <v>53.5</v>
      </c>
      <c r="E84" s="5">
        <f t="shared" si="2"/>
        <v>0.89166666666666672</v>
      </c>
      <c r="F84" s="5">
        <v>23.42</v>
      </c>
      <c r="G84" s="5">
        <v>8521</v>
      </c>
      <c r="H84" s="5"/>
    </row>
    <row r="85" spans="1:8" x14ac:dyDescent="0.4">
      <c r="A85" s="4" t="s">
        <v>17</v>
      </c>
      <c r="B85" s="4" t="s">
        <v>18</v>
      </c>
      <c r="C85" s="5">
        <v>24</v>
      </c>
      <c r="D85" s="5">
        <v>58</v>
      </c>
      <c r="E85" s="5">
        <f t="shared" si="2"/>
        <v>0.96666666666666667</v>
      </c>
      <c r="F85" s="5">
        <v>25.25</v>
      </c>
      <c r="G85" s="5">
        <v>8654</v>
      </c>
      <c r="H85" s="5"/>
    </row>
    <row r="86" spans="1:8" x14ac:dyDescent="0.4">
      <c r="A86" s="4" t="s">
        <v>17</v>
      </c>
      <c r="B86" s="4" t="s">
        <v>18</v>
      </c>
      <c r="C86" s="5">
        <v>25</v>
      </c>
      <c r="D86" s="11">
        <v>53</v>
      </c>
      <c r="E86" s="5">
        <f t="shared" si="2"/>
        <v>0.8833333333333333</v>
      </c>
      <c r="F86" s="5">
        <v>24.2</v>
      </c>
      <c r="G86" s="5">
        <v>8669</v>
      </c>
      <c r="H86" s="5"/>
    </row>
    <row r="87" spans="1:8" x14ac:dyDescent="0.4">
      <c r="A87" s="4" t="s">
        <v>17</v>
      </c>
      <c r="B87" s="4" t="s">
        <v>18</v>
      </c>
      <c r="C87" s="5">
        <v>26</v>
      </c>
      <c r="D87" s="5">
        <v>51</v>
      </c>
      <c r="E87" s="5">
        <f t="shared" si="2"/>
        <v>0.85</v>
      </c>
      <c r="F87" s="5">
        <v>21.96</v>
      </c>
      <c r="G87" s="5">
        <v>8422</v>
      </c>
      <c r="H87" s="5"/>
    </row>
    <row r="88" spans="1:8" x14ac:dyDescent="0.4">
      <c r="A88" s="4" t="s">
        <v>17</v>
      </c>
      <c r="B88" s="4" t="s">
        <v>18</v>
      </c>
      <c r="C88" s="5">
        <v>27</v>
      </c>
      <c r="D88" s="5">
        <v>58</v>
      </c>
      <c r="E88" s="5">
        <f t="shared" si="2"/>
        <v>0.96666666666666667</v>
      </c>
      <c r="F88" s="5">
        <v>22.07</v>
      </c>
      <c r="G88" s="5">
        <v>8661</v>
      </c>
      <c r="H88" s="5"/>
    </row>
    <row r="89" spans="1:8" x14ac:dyDescent="0.4">
      <c r="A89" s="4" t="s">
        <v>17</v>
      </c>
      <c r="B89" s="4" t="s">
        <v>18</v>
      </c>
      <c r="C89" s="5">
        <v>28</v>
      </c>
      <c r="D89" s="11" t="s">
        <v>53</v>
      </c>
      <c r="E89" s="5"/>
      <c r="F89" s="5">
        <v>30.03</v>
      </c>
      <c r="G89" s="5">
        <v>8906</v>
      </c>
      <c r="H89" s="5" t="s">
        <v>12</v>
      </c>
    </row>
    <row r="90" spans="1:8" x14ac:dyDescent="0.4">
      <c r="A90" s="4" t="s">
        <v>17</v>
      </c>
      <c r="B90" s="4" t="s">
        <v>18</v>
      </c>
      <c r="C90" s="5">
        <v>29</v>
      </c>
      <c r="D90" s="5">
        <v>46.5</v>
      </c>
      <c r="E90" s="5">
        <f t="shared" si="2"/>
        <v>0.77500000000000002</v>
      </c>
      <c r="F90" s="5">
        <v>21.47</v>
      </c>
      <c r="G90" s="5">
        <v>8638</v>
      </c>
      <c r="H90" s="5"/>
    </row>
    <row r="91" spans="1:8" x14ac:dyDescent="0.4">
      <c r="A91" s="4" t="s">
        <v>17</v>
      </c>
      <c r="B91" s="4" t="s">
        <v>18</v>
      </c>
      <c r="C91" s="5">
        <v>30</v>
      </c>
      <c r="D91" s="5">
        <v>53</v>
      </c>
      <c r="E91" s="5">
        <f t="shared" si="2"/>
        <v>0.8833333333333333</v>
      </c>
      <c r="F91" s="5">
        <v>23.5</v>
      </c>
      <c r="G91" s="5">
        <v>8559</v>
      </c>
      <c r="H91" s="5"/>
    </row>
    <row r="92" spans="1:8" x14ac:dyDescent="0.4">
      <c r="A92" s="4" t="s">
        <v>19</v>
      </c>
      <c r="B92" s="4" t="s">
        <v>20</v>
      </c>
      <c r="C92" s="5">
        <v>1</v>
      </c>
      <c r="D92" s="11" t="s">
        <v>53</v>
      </c>
      <c r="E92" s="5"/>
      <c r="F92" s="5">
        <v>22.54</v>
      </c>
      <c r="G92" s="5">
        <v>8407</v>
      </c>
      <c r="H92" s="5" t="s">
        <v>12</v>
      </c>
    </row>
    <row r="93" spans="1:8" x14ac:dyDescent="0.4">
      <c r="A93" s="4" t="s">
        <v>19</v>
      </c>
      <c r="B93" s="4" t="s">
        <v>20</v>
      </c>
      <c r="C93" s="5">
        <v>2</v>
      </c>
      <c r="D93" s="5">
        <v>58.5</v>
      </c>
      <c r="E93" s="5">
        <f t="shared" ref="E93:E121" si="3">D93/70</f>
        <v>0.83571428571428574</v>
      </c>
      <c r="F93" s="5">
        <v>23.56</v>
      </c>
      <c r="G93" s="5">
        <v>8513</v>
      </c>
      <c r="H93" s="5"/>
    </row>
    <row r="94" spans="1:8" x14ac:dyDescent="0.4">
      <c r="A94" s="4" t="s">
        <v>19</v>
      </c>
      <c r="B94" s="4" t="s">
        <v>20</v>
      </c>
      <c r="C94" s="5">
        <v>3</v>
      </c>
      <c r="D94" s="5">
        <v>65</v>
      </c>
      <c r="E94" s="5">
        <f t="shared" si="3"/>
        <v>0.9285714285714286</v>
      </c>
      <c r="F94" s="5">
        <v>16.510000000000002</v>
      </c>
      <c r="G94" s="5">
        <v>8051</v>
      </c>
      <c r="H94" s="5"/>
    </row>
    <row r="95" spans="1:8" x14ac:dyDescent="0.4">
      <c r="A95" s="4" t="s">
        <v>19</v>
      </c>
      <c r="B95" s="4" t="s">
        <v>20</v>
      </c>
      <c r="C95" s="5">
        <v>4</v>
      </c>
      <c r="D95" s="5">
        <v>59.5</v>
      </c>
      <c r="E95" s="5">
        <f t="shared" si="3"/>
        <v>0.85</v>
      </c>
      <c r="F95" s="5">
        <v>24.52</v>
      </c>
      <c r="G95" s="5">
        <v>8885</v>
      </c>
      <c r="H95" s="5"/>
    </row>
    <row r="96" spans="1:8" x14ac:dyDescent="0.4">
      <c r="A96" s="4" t="s">
        <v>19</v>
      </c>
      <c r="B96" s="4" t="s">
        <v>20</v>
      </c>
      <c r="C96" s="5">
        <v>5</v>
      </c>
      <c r="D96" s="5">
        <v>56.5</v>
      </c>
      <c r="E96" s="5">
        <f t="shared" si="3"/>
        <v>0.80714285714285716</v>
      </c>
      <c r="F96" s="5">
        <v>19.190000000000001</v>
      </c>
      <c r="G96" s="5">
        <v>8265</v>
      </c>
      <c r="H96" s="5"/>
    </row>
    <row r="97" spans="1:8" x14ac:dyDescent="0.4">
      <c r="A97" s="4" t="s">
        <v>19</v>
      </c>
      <c r="B97" s="4" t="s">
        <v>20</v>
      </c>
      <c r="C97" s="5">
        <v>6</v>
      </c>
      <c r="D97" s="5">
        <v>66</v>
      </c>
      <c r="E97" s="5">
        <f t="shared" si="3"/>
        <v>0.94285714285714284</v>
      </c>
      <c r="F97" s="5">
        <v>19.559999999999999</v>
      </c>
      <c r="G97" s="5">
        <v>8317</v>
      </c>
      <c r="H97" s="5"/>
    </row>
    <row r="98" spans="1:8" x14ac:dyDescent="0.4">
      <c r="A98" s="4" t="s">
        <v>19</v>
      </c>
      <c r="B98" s="4" t="s">
        <v>20</v>
      </c>
      <c r="C98" s="5">
        <v>7</v>
      </c>
      <c r="D98" s="5">
        <v>63</v>
      </c>
      <c r="E98" s="5">
        <f t="shared" si="3"/>
        <v>0.9</v>
      </c>
      <c r="F98" s="5">
        <v>17.11</v>
      </c>
      <c r="G98" s="5">
        <v>8129</v>
      </c>
      <c r="H98" s="5"/>
    </row>
    <row r="99" spans="1:8" x14ac:dyDescent="0.4">
      <c r="A99" s="4" t="s">
        <v>19</v>
      </c>
      <c r="B99" s="4" t="s">
        <v>20</v>
      </c>
      <c r="C99" s="5">
        <v>8</v>
      </c>
      <c r="D99" s="5">
        <v>58</v>
      </c>
      <c r="E99" s="5">
        <f t="shared" si="3"/>
        <v>0.82857142857142863</v>
      </c>
      <c r="F99" s="5">
        <v>21.04</v>
      </c>
      <c r="G99" s="5">
        <v>8417</v>
      </c>
      <c r="H99" s="5"/>
    </row>
    <row r="100" spans="1:8" x14ac:dyDescent="0.4">
      <c r="A100" s="4" t="s">
        <v>19</v>
      </c>
      <c r="B100" s="4" t="s">
        <v>20</v>
      </c>
      <c r="C100" s="5">
        <v>9</v>
      </c>
      <c r="D100" s="5">
        <v>65</v>
      </c>
      <c r="E100" s="5">
        <f t="shared" si="3"/>
        <v>0.9285714285714286</v>
      </c>
      <c r="F100" s="5">
        <v>16.8</v>
      </c>
      <c r="G100" s="5">
        <v>8017</v>
      </c>
      <c r="H100" s="5"/>
    </row>
    <row r="101" spans="1:8" x14ac:dyDescent="0.4">
      <c r="A101" s="4" t="s">
        <v>19</v>
      </c>
      <c r="B101" s="4" t="s">
        <v>20</v>
      </c>
      <c r="C101" s="5">
        <v>10</v>
      </c>
      <c r="D101" s="5">
        <v>61</v>
      </c>
      <c r="E101" s="5">
        <f t="shared" si="3"/>
        <v>0.87142857142857144</v>
      </c>
      <c r="F101" s="5">
        <v>18.329999999999998</v>
      </c>
      <c r="G101" s="5">
        <v>8291</v>
      </c>
      <c r="H101" s="5"/>
    </row>
    <row r="102" spans="1:8" x14ac:dyDescent="0.4">
      <c r="A102" s="4" t="s">
        <v>19</v>
      </c>
      <c r="B102" s="4" t="s">
        <v>20</v>
      </c>
      <c r="C102" s="5">
        <v>11</v>
      </c>
      <c r="D102" s="5">
        <v>56</v>
      </c>
      <c r="E102" s="5">
        <f t="shared" si="3"/>
        <v>0.8</v>
      </c>
      <c r="F102" s="5">
        <v>19.48</v>
      </c>
      <c r="G102" s="5">
        <v>8395</v>
      </c>
      <c r="H102" s="5"/>
    </row>
    <row r="103" spans="1:8" x14ac:dyDescent="0.4">
      <c r="A103" s="4" t="s">
        <v>19</v>
      </c>
      <c r="B103" s="4" t="s">
        <v>20</v>
      </c>
      <c r="C103" s="5">
        <v>12</v>
      </c>
      <c r="D103" s="5">
        <v>67</v>
      </c>
      <c r="E103" s="5">
        <f t="shared" si="3"/>
        <v>0.95714285714285718</v>
      </c>
      <c r="F103" s="5">
        <v>17.170000000000002</v>
      </c>
      <c r="G103" s="5">
        <v>8084</v>
      </c>
      <c r="H103" s="5"/>
    </row>
    <row r="104" spans="1:8" x14ac:dyDescent="0.4">
      <c r="A104" s="4" t="s">
        <v>19</v>
      </c>
      <c r="B104" s="4" t="s">
        <v>20</v>
      </c>
      <c r="C104" s="5">
        <v>13</v>
      </c>
      <c r="D104" s="5">
        <v>63</v>
      </c>
      <c r="E104" s="5">
        <f t="shared" si="3"/>
        <v>0.9</v>
      </c>
      <c r="F104" s="5">
        <v>24.11</v>
      </c>
      <c r="G104" s="5">
        <v>8552</v>
      </c>
      <c r="H104" s="5"/>
    </row>
    <row r="105" spans="1:8" x14ac:dyDescent="0.4">
      <c r="A105" s="4" t="s">
        <v>19</v>
      </c>
      <c r="B105" s="4" t="s">
        <v>20</v>
      </c>
      <c r="C105" s="5">
        <v>14</v>
      </c>
      <c r="D105" s="5">
        <v>58</v>
      </c>
      <c r="E105" s="5">
        <f t="shared" si="3"/>
        <v>0.82857142857142863</v>
      </c>
      <c r="F105" s="5">
        <v>22</v>
      </c>
      <c r="G105" s="5">
        <v>8467</v>
      </c>
      <c r="H105" s="5"/>
    </row>
    <row r="106" spans="1:8" x14ac:dyDescent="0.4">
      <c r="A106" s="4" t="s">
        <v>19</v>
      </c>
      <c r="B106" s="4" t="s">
        <v>20</v>
      </c>
      <c r="C106" s="5">
        <v>15</v>
      </c>
      <c r="D106" s="5">
        <v>65.5</v>
      </c>
      <c r="E106" s="5">
        <f t="shared" si="3"/>
        <v>0.93571428571428572</v>
      </c>
      <c r="F106" s="5">
        <v>22.97</v>
      </c>
      <c r="G106" s="5">
        <v>8484</v>
      </c>
      <c r="H106" s="5"/>
    </row>
    <row r="107" spans="1:8" x14ac:dyDescent="0.4">
      <c r="A107" s="4" t="s">
        <v>19</v>
      </c>
      <c r="B107" s="4" t="s">
        <v>20</v>
      </c>
      <c r="C107" s="5">
        <v>16</v>
      </c>
      <c r="D107" s="5">
        <v>61.5</v>
      </c>
      <c r="E107" s="5">
        <f t="shared" si="3"/>
        <v>0.87857142857142856</v>
      </c>
      <c r="F107" s="5">
        <v>24.53</v>
      </c>
      <c r="G107" s="5">
        <v>8586</v>
      </c>
      <c r="H107" s="5"/>
    </row>
    <row r="108" spans="1:8" x14ac:dyDescent="0.4">
      <c r="A108" s="4" t="s">
        <v>19</v>
      </c>
      <c r="B108" s="4" t="s">
        <v>20</v>
      </c>
      <c r="C108" s="5">
        <v>17</v>
      </c>
      <c r="D108" s="5">
        <v>58.5</v>
      </c>
      <c r="E108" s="5">
        <f t="shared" si="3"/>
        <v>0.83571428571428574</v>
      </c>
      <c r="F108" s="5">
        <v>24.74</v>
      </c>
      <c r="G108" s="5">
        <v>8713</v>
      </c>
      <c r="H108" s="5"/>
    </row>
    <row r="109" spans="1:8" x14ac:dyDescent="0.4">
      <c r="A109" s="4" t="s">
        <v>19</v>
      </c>
      <c r="B109" s="4" t="s">
        <v>20</v>
      </c>
      <c r="C109" s="5">
        <v>18</v>
      </c>
      <c r="D109" s="5">
        <v>65</v>
      </c>
      <c r="E109" s="5">
        <f t="shared" si="3"/>
        <v>0.9285714285714286</v>
      </c>
      <c r="F109" s="5">
        <v>16.649999999999999</v>
      </c>
      <c r="G109" s="5">
        <v>7955</v>
      </c>
      <c r="H109" s="5"/>
    </row>
    <row r="110" spans="1:8" x14ac:dyDescent="0.4">
      <c r="A110" s="4" t="s">
        <v>19</v>
      </c>
      <c r="B110" s="4" t="s">
        <v>20</v>
      </c>
      <c r="C110" s="5">
        <v>19</v>
      </c>
      <c r="D110" s="5">
        <v>61.5</v>
      </c>
      <c r="E110" s="5">
        <f t="shared" si="3"/>
        <v>0.87857142857142856</v>
      </c>
      <c r="F110" s="5">
        <v>20.09</v>
      </c>
      <c r="G110" s="5">
        <v>8295</v>
      </c>
      <c r="H110" s="5"/>
    </row>
    <row r="111" spans="1:8" x14ac:dyDescent="0.4">
      <c r="A111" s="4" t="s">
        <v>19</v>
      </c>
      <c r="B111" s="4" t="s">
        <v>20</v>
      </c>
      <c r="C111" s="5">
        <v>20</v>
      </c>
      <c r="D111" s="5">
        <v>59.5</v>
      </c>
      <c r="E111" s="5">
        <f t="shared" si="3"/>
        <v>0.85</v>
      </c>
      <c r="F111" s="5">
        <v>20.86</v>
      </c>
      <c r="G111" s="5">
        <v>8362</v>
      </c>
      <c r="H111" s="5"/>
    </row>
    <row r="112" spans="1:8" x14ac:dyDescent="0.4">
      <c r="A112" s="4" t="s">
        <v>19</v>
      </c>
      <c r="B112" s="4" t="s">
        <v>20</v>
      </c>
      <c r="C112" s="5">
        <v>21</v>
      </c>
      <c r="D112" s="5">
        <v>66.5</v>
      </c>
      <c r="E112" s="5">
        <f t="shared" si="3"/>
        <v>0.95</v>
      </c>
      <c r="F112" s="5">
        <v>19.09</v>
      </c>
      <c r="G112" s="5">
        <v>8148</v>
      </c>
      <c r="H112" s="5"/>
    </row>
    <row r="113" spans="1:8" x14ac:dyDescent="0.4">
      <c r="A113" s="4" t="s">
        <v>19</v>
      </c>
      <c r="B113" s="4" t="s">
        <v>20</v>
      </c>
      <c r="C113" s="5">
        <v>22</v>
      </c>
      <c r="D113" s="5">
        <v>62</v>
      </c>
      <c r="E113" s="5">
        <f t="shared" si="3"/>
        <v>0.88571428571428568</v>
      </c>
      <c r="F113" s="5">
        <v>18.63</v>
      </c>
      <c r="G113" s="5">
        <v>8126</v>
      </c>
      <c r="H113" s="5"/>
    </row>
    <row r="114" spans="1:8" x14ac:dyDescent="0.4">
      <c r="A114" s="4" t="s">
        <v>19</v>
      </c>
      <c r="B114" s="4" t="s">
        <v>20</v>
      </c>
      <c r="C114" s="5">
        <v>23</v>
      </c>
      <c r="D114" s="5">
        <v>59</v>
      </c>
      <c r="E114" s="5">
        <f t="shared" si="3"/>
        <v>0.84285714285714286</v>
      </c>
      <c r="F114" s="5">
        <v>19.59</v>
      </c>
      <c r="G114" s="5">
        <v>8231</v>
      </c>
      <c r="H114" s="5"/>
    </row>
    <row r="115" spans="1:8" x14ac:dyDescent="0.4">
      <c r="A115" s="4" t="s">
        <v>19</v>
      </c>
      <c r="B115" s="4" t="s">
        <v>20</v>
      </c>
      <c r="C115" s="5">
        <v>24</v>
      </c>
      <c r="D115" s="5">
        <v>67</v>
      </c>
      <c r="E115" s="5">
        <f t="shared" si="3"/>
        <v>0.95714285714285718</v>
      </c>
      <c r="F115" s="5">
        <v>21.9</v>
      </c>
      <c r="G115" s="5">
        <v>8398</v>
      </c>
      <c r="H115" s="5"/>
    </row>
    <row r="116" spans="1:8" x14ac:dyDescent="0.4">
      <c r="A116" s="4" t="s">
        <v>19</v>
      </c>
      <c r="B116" s="4" t="s">
        <v>20</v>
      </c>
      <c r="C116" s="5">
        <v>25</v>
      </c>
      <c r="D116" s="5">
        <v>61</v>
      </c>
      <c r="E116" s="5">
        <f t="shared" si="3"/>
        <v>0.87142857142857144</v>
      </c>
      <c r="F116" s="5">
        <v>22.99</v>
      </c>
      <c r="G116" s="5">
        <v>8435</v>
      </c>
      <c r="H116" s="5"/>
    </row>
    <row r="117" spans="1:8" x14ac:dyDescent="0.4">
      <c r="A117" s="4" t="s">
        <v>19</v>
      </c>
      <c r="B117" s="4" t="s">
        <v>20</v>
      </c>
      <c r="C117" s="5">
        <v>26</v>
      </c>
      <c r="D117" s="5">
        <v>59.5</v>
      </c>
      <c r="E117" s="5">
        <f t="shared" si="3"/>
        <v>0.85</v>
      </c>
      <c r="F117" s="5">
        <v>23.45</v>
      </c>
      <c r="G117" s="5">
        <v>8545</v>
      </c>
      <c r="H117" s="5"/>
    </row>
    <row r="118" spans="1:8" x14ac:dyDescent="0.4">
      <c r="A118" s="4" t="s">
        <v>19</v>
      </c>
      <c r="B118" s="4" t="s">
        <v>20</v>
      </c>
      <c r="C118" s="5">
        <v>27</v>
      </c>
      <c r="D118" s="5">
        <v>67</v>
      </c>
      <c r="E118" s="5">
        <f t="shared" si="3"/>
        <v>0.95714285714285718</v>
      </c>
      <c r="F118" s="5">
        <v>24.46</v>
      </c>
      <c r="G118" s="5">
        <v>8648</v>
      </c>
      <c r="H118" s="5"/>
    </row>
    <row r="119" spans="1:8" x14ac:dyDescent="0.4">
      <c r="A119" s="4" t="s">
        <v>19</v>
      </c>
      <c r="B119" s="4" t="s">
        <v>20</v>
      </c>
      <c r="C119" s="5">
        <v>28</v>
      </c>
      <c r="D119" s="5">
        <v>61.5</v>
      </c>
      <c r="E119" s="5">
        <f t="shared" si="3"/>
        <v>0.87857142857142856</v>
      </c>
      <c r="F119" s="5">
        <v>19.45</v>
      </c>
      <c r="G119" s="5">
        <v>8259</v>
      </c>
      <c r="H119" s="5"/>
    </row>
    <row r="120" spans="1:8" x14ac:dyDescent="0.4">
      <c r="A120" s="4" t="s">
        <v>19</v>
      </c>
      <c r="B120" s="4" t="s">
        <v>20</v>
      </c>
      <c r="C120" s="5">
        <v>29</v>
      </c>
      <c r="D120" s="5">
        <v>60.5</v>
      </c>
      <c r="E120" s="5">
        <f t="shared" si="3"/>
        <v>0.86428571428571432</v>
      </c>
      <c r="F120" s="5">
        <v>18.78</v>
      </c>
      <c r="G120" s="5">
        <v>8233</v>
      </c>
      <c r="H120" s="5"/>
    </row>
    <row r="121" spans="1:8" x14ac:dyDescent="0.4">
      <c r="A121" s="4" t="s">
        <v>19</v>
      </c>
      <c r="B121" s="4" t="s">
        <v>20</v>
      </c>
      <c r="C121" s="5">
        <v>30</v>
      </c>
      <c r="D121" s="5">
        <v>64</v>
      </c>
      <c r="E121" s="5">
        <f t="shared" si="3"/>
        <v>0.91428571428571426</v>
      </c>
      <c r="F121" s="5">
        <v>17.71</v>
      </c>
      <c r="G121" s="5">
        <v>8210</v>
      </c>
      <c r="H121" s="5"/>
    </row>
    <row r="122" spans="1:8" x14ac:dyDescent="0.4">
      <c r="A122" s="4" t="s">
        <v>21</v>
      </c>
      <c r="B122" s="4" t="s">
        <v>22</v>
      </c>
      <c r="C122" s="5">
        <v>1</v>
      </c>
      <c r="D122" s="5">
        <v>55</v>
      </c>
      <c r="E122" s="5">
        <f t="shared" si="2"/>
        <v>0.91666666666666663</v>
      </c>
      <c r="F122" s="5">
        <v>10.41</v>
      </c>
      <c r="G122" s="5">
        <v>7419</v>
      </c>
      <c r="H122" s="5"/>
    </row>
    <row r="123" spans="1:8" x14ac:dyDescent="0.4">
      <c r="A123" s="4" t="s">
        <v>21</v>
      </c>
      <c r="B123" s="4" t="s">
        <v>22</v>
      </c>
      <c r="C123" s="5">
        <v>2</v>
      </c>
      <c r="D123" s="5">
        <v>54.5</v>
      </c>
      <c r="E123" s="5">
        <f t="shared" si="2"/>
        <v>0.90833333333333333</v>
      </c>
      <c r="F123" s="5">
        <v>10.23</v>
      </c>
      <c r="G123" s="5">
        <v>7418</v>
      </c>
      <c r="H123" s="5"/>
    </row>
    <row r="124" spans="1:8" x14ac:dyDescent="0.4">
      <c r="A124" s="4" t="s">
        <v>21</v>
      </c>
      <c r="B124" s="4" t="s">
        <v>22</v>
      </c>
      <c r="C124" s="5">
        <v>3</v>
      </c>
      <c r="D124" s="5">
        <v>58.5</v>
      </c>
      <c r="E124" s="5">
        <f t="shared" si="2"/>
        <v>0.97499999999999998</v>
      </c>
      <c r="F124" s="5">
        <v>13.56</v>
      </c>
      <c r="G124" s="5">
        <v>7750</v>
      </c>
      <c r="H124" s="5"/>
    </row>
    <row r="125" spans="1:8" x14ac:dyDescent="0.4">
      <c r="A125" s="4" t="s">
        <v>21</v>
      </c>
      <c r="B125" s="4" t="s">
        <v>22</v>
      </c>
      <c r="C125" s="5">
        <v>4</v>
      </c>
      <c r="D125" s="5">
        <v>55.5</v>
      </c>
      <c r="E125" s="5">
        <f t="shared" si="2"/>
        <v>0.92500000000000004</v>
      </c>
      <c r="F125" s="5">
        <v>10.07</v>
      </c>
      <c r="G125" s="5">
        <v>7465</v>
      </c>
      <c r="H125" s="5"/>
    </row>
    <row r="126" spans="1:8" x14ac:dyDescent="0.4">
      <c r="A126" s="4" t="s">
        <v>21</v>
      </c>
      <c r="B126" s="4" t="s">
        <v>22</v>
      </c>
      <c r="C126" s="5">
        <v>5</v>
      </c>
      <c r="D126" s="5">
        <v>56</v>
      </c>
      <c r="E126" s="5">
        <f t="shared" si="2"/>
        <v>0.93333333333333335</v>
      </c>
      <c r="F126" s="5">
        <v>10.73</v>
      </c>
      <c r="G126" s="5">
        <v>7508</v>
      </c>
      <c r="H126" s="5"/>
    </row>
    <row r="127" spans="1:8" x14ac:dyDescent="0.4">
      <c r="A127" s="4" t="s">
        <v>21</v>
      </c>
      <c r="B127" s="4" t="s">
        <v>22</v>
      </c>
      <c r="C127" s="5">
        <v>6</v>
      </c>
      <c r="D127" s="5">
        <v>59</v>
      </c>
      <c r="E127" s="5">
        <f t="shared" ref="E127:E151" si="4">D127/60</f>
        <v>0.98333333333333328</v>
      </c>
      <c r="F127" s="5">
        <v>10.61</v>
      </c>
      <c r="G127" s="5">
        <v>7444</v>
      </c>
      <c r="H127" s="5"/>
    </row>
    <row r="128" spans="1:8" x14ac:dyDescent="0.4">
      <c r="A128" s="4" t="s">
        <v>21</v>
      </c>
      <c r="B128" s="4" t="s">
        <v>22</v>
      </c>
      <c r="C128" s="5">
        <v>7</v>
      </c>
      <c r="D128" s="5">
        <v>56</v>
      </c>
      <c r="E128" s="5">
        <f t="shared" si="4"/>
        <v>0.93333333333333335</v>
      </c>
      <c r="F128" s="5">
        <v>10.43</v>
      </c>
      <c r="G128" s="5">
        <v>7422</v>
      </c>
      <c r="H128" s="5"/>
    </row>
    <row r="129" spans="1:8" x14ac:dyDescent="0.4">
      <c r="A129" s="4" t="s">
        <v>21</v>
      </c>
      <c r="B129" s="4" t="s">
        <v>22</v>
      </c>
      <c r="C129" s="5">
        <v>8</v>
      </c>
      <c r="D129" s="5">
        <v>56.5</v>
      </c>
      <c r="E129" s="5">
        <f t="shared" si="4"/>
        <v>0.94166666666666665</v>
      </c>
      <c r="F129" s="5">
        <v>10.49</v>
      </c>
      <c r="G129" s="5">
        <v>7423</v>
      </c>
      <c r="H129" s="5"/>
    </row>
    <row r="130" spans="1:8" x14ac:dyDescent="0.4">
      <c r="A130" s="4" t="s">
        <v>21</v>
      </c>
      <c r="B130" s="4" t="s">
        <v>22</v>
      </c>
      <c r="C130" s="5">
        <v>9</v>
      </c>
      <c r="D130" s="5">
        <v>58</v>
      </c>
      <c r="E130" s="5">
        <f t="shared" si="4"/>
        <v>0.96666666666666667</v>
      </c>
      <c r="F130" s="5">
        <v>9.59</v>
      </c>
      <c r="G130" s="5">
        <v>7410</v>
      </c>
      <c r="H130" s="5"/>
    </row>
    <row r="131" spans="1:8" x14ac:dyDescent="0.4">
      <c r="A131" s="4" t="s">
        <v>21</v>
      </c>
      <c r="B131" s="4" t="s">
        <v>22</v>
      </c>
      <c r="C131" s="5">
        <v>10</v>
      </c>
      <c r="D131" s="5">
        <v>54.5</v>
      </c>
      <c r="E131" s="5">
        <f t="shared" si="4"/>
        <v>0.90833333333333333</v>
      </c>
      <c r="F131" s="5">
        <v>12.01</v>
      </c>
      <c r="G131" s="5">
        <v>7419</v>
      </c>
      <c r="H131" s="5"/>
    </row>
    <row r="132" spans="1:8" x14ac:dyDescent="0.4">
      <c r="A132" s="4" t="s">
        <v>21</v>
      </c>
      <c r="B132" s="4" t="s">
        <v>22</v>
      </c>
      <c r="C132" s="5">
        <v>11</v>
      </c>
      <c r="D132" s="5">
        <v>56.5</v>
      </c>
      <c r="E132" s="5">
        <f t="shared" si="4"/>
        <v>0.94166666666666665</v>
      </c>
      <c r="F132" s="5">
        <v>11.8</v>
      </c>
      <c r="G132" s="5">
        <v>7440</v>
      </c>
      <c r="H132" s="5"/>
    </row>
    <row r="133" spans="1:8" x14ac:dyDescent="0.4">
      <c r="A133" s="4" t="s">
        <v>21</v>
      </c>
      <c r="B133" s="4" t="s">
        <v>22</v>
      </c>
      <c r="C133" s="5">
        <v>12</v>
      </c>
      <c r="D133" s="5">
        <v>58.5</v>
      </c>
      <c r="E133" s="5">
        <f t="shared" si="4"/>
        <v>0.97499999999999998</v>
      </c>
      <c r="F133" s="5">
        <v>10.35</v>
      </c>
      <c r="G133" s="5">
        <v>7515</v>
      </c>
      <c r="H133" s="5"/>
    </row>
    <row r="134" spans="1:8" x14ac:dyDescent="0.4">
      <c r="A134" s="4" t="s">
        <v>21</v>
      </c>
      <c r="B134" s="4" t="s">
        <v>22</v>
      </c>
      <c r="C134" s="5">
        <v>13</v>
      </c>
      <c r="D134" s="5">
        <v>54</v>
      </c>
      <c r="E134" s="5">
        <f t="shared" si="4"/>
        <v>0.9</v>
      </c>
      <c r="F134" s="5">
        <v>10.16</v>
      </c>
      <c r="G134" s="5">
        <v>7461</v>
      </c>
      <c r="H134" s="5"/>
    </row>
    <row r="135" spans="1:8" x14ac:dyDescent="0.4">
      <c r="A135" s="4" t="s">
        <v>21</v>
      </c>
      <c r="B135" s="4" t="s">
        <v>22</v>
      </c>
      <c r="C135" s="5">
        <v>14</v>
      </c>
      <c r="D135" s="5">
        <v>55.5</v>
      </c>
      <c r="E135" s="5">
        <f t="shared" si="4"/>
        <v>0.92500000000000004</v>
      </c>
      <c r="F135" s="5">
        <v>10.52</v>
      </c>
      <c r="G135" s="5">
        <v>7452</v>
      </c>
      <c r="H135" s="5"/>
    </row>
    <row r="136" spans="1:8" x14ac:dyDescent="0.4">
      <c r="A136" s="4" t="s">
        <v>21</v>
      </c>
      <c r="B136" s="4" t="s">
        <v>22</v>
      </c>
      <c r="C136" s="5">
        <v>15</v>
      </c>
      <c r="D136" s="5">
        <v>58</v>
      </c>
      <c r="E136" s="5">
        <f t="shared" si="4"/>
        <v>0.96666666666666667</v>
      </c>
      <c r="F136" s="5">
        <v>12.35</v>
      </c>
      <c r="G136" s="5">
        <v>7459</v>
      </c>
      <c r="H136" s="5"/>
    </row>
    <row r="137" spans="1:8" x14ac:dyDescent="0.4">
      <c r="A137" s="4" t="s">
        <v>21</v>
      </c>
      <c r="B137" s="4" t="s">
        <v>22</v>
      </c>
      <c r="C137" s="5">
        <v>16</v>
      </c>
      <c r="D137" s="5">
        <v>53.5</v>
      </c>
      <c r="E137" s="5">
        <f t="shared" si="4"/>
        <v>0.89166666666666672</v>
      </c>
      <c r="F137" s="5">
        <v>12.49</v>
      </c>
      <c r="G137" s="5">
        <v>7457</v>
      </c>
      <c r="H137" s="5"/>
    </row>
    <row r="138" spans="1:8" x14ac:dyDescent="0.4">
      <c r="A138" s="4" t="s">
        <v>21</v>
      </c>
      <c r="B138" s="4" t="s">
        <v>22</v>
      </c>
      <c r="C138" s="5">
        <v>17</v>
      </c>
      <c r="D138" s="5">
        <v>55.5</v>
      </c>
      <c r="E138" s="5">
        <f t="shared" si="4"/>
        <v>0.92500000000000004</v>
      </c>
      <c r="F138" s="5">
        <v>10.050000000000001</v>
      </c>
      <c r="G138" s="5">
        <v>7477</v>
      </c>
      <c r="H138" s="5"/>
    </row>
    <row r="139" spans="1:8" x14ac:dyDescent="0.4">
      <c r="A139" s="4" t="s">
        <v>21</v>
      </c>
      <c r="B139" s="4" t="s">
        <v>22</v>
      </c>
      <c r="C139" s="5">
        <v>18</v>
      </c>
      <c r="D139" s="5">
        <v>59</v>
      </c>
      <c r="E139" s="5">
        <f t="shared" si="4"/>
        <v>0.98333333333333328</v>
      </c>
      <c r="F139" s="5">
        <v>10.54</v>
      </c>
      <c r="G139" s="5">
        <v>7474</v>
      </c>
      <c r="H139" s="5"/>
    </row>
    <row r="140" spans="1:8" x14ac:dyDescent="0.4">
      <c r="A140" s="4" t="s">
        <v>21</v>
      </c>
      <c r="B140" s="4" t="s">
        <v>22</v>
      </c>
      <c r="C140" s="5">
        <v>19</v>
      </c>
      <c r="D140" s="5">
        <v>55.5</v>
      </c>
      <c r="E140" s="5">
        <f t="shared" si="4"/>
        <v>0.92500000000000004</v>
      </c>
      <c r="F140" s="5">
        <v>12.37</v>
      </c>
      <c r="G140" s="5">
        <v>7432</v>
      </c>
      <c r="H140" s="5"/>
    </row>
    <row r="141" spans="1:8" x14ac:dyDescent="0.4">
      <c r="A141" s="4" t="s">
        <v>21</v>
      </c>
      <c r="B141" s="4" t="s">
        <v>22</v>
      </c>
      <c r="C141" s="5">
        <v>20</v>
      </c>
      <c r="D141" s="5">
        <v>56.5</v>
      </c>
      <c r="E141" s="5">
        <f t="shared" si="4"/>
        <v>0.94166666666666665</v>
      </c>
      <c r="F141" s="5">
        <v>11.8</v>
      </c>
      <c r="G141" s="5">
        <v>7429</v>
      </c>
      <c r="H141" s="5"/>
    </row>
    <row r="142" spans="1:8" x14ac:dyDescent="0.4">
      <c r="A142" s="4" t="s">
        <v>21</v>
      </c>
      <c r="B142" s="4" t="s">
        <v>22</v>
      </c>
      <c r="C142" s="5">
        <v>21</v>
      </c>
      <c r="D142" s="5">
        <v>59</v>
      </c>
      <c r="E142" s="5">
        <f t="shared" si="4"/>
        <v>0.98333333333333328</v>
      </c>
      <c r="F142" s="5">
        <v>11.01</v>
      </c>
      <c r="G142" s="5">
        <v>7496</v>
      </c>
      <c r="H142" s="5"/>
    </row>
    <row r="143" spans="1:8" x14ac:dyDescent="0.4">
      <c r="A143" s="4" t="s">
        <v>21</v>
      </c>
      <c r="B143" s="4" t="s">
        <v>22</v>
      </c>
      <c r="C143" s="5">
        <v>22</v>
      </c>
      <c r="D143" s="5">
        <v>54.5</v>
      </c>
      <c r="E143" s="5">
        <f t="shared" si="4"/>
        <v>0.90833333333333333</v>
      </c>
      <c r="F143" s="5">
        <v>11.65</v>
      </c>
      <c r="G143" s="5">
        <v>7419</v>
      </c>
      <c r="H143" s="5"/>
    </row>
    <row r="144" spans="1:8" x14ac:dyDescent="0.4">
      <c r="A144" s="4" t="s">
        <v>21</v>
      </c>
      <c r="B144" s="4" t="s">
        <v>22</v>
      </c>
      <c r="C144" s="5">
        <v>23</v>
      </c>
      <c r="D144" s="5">
        <v>54.5</v>
      </c>
      <c r="E144" s="5">
        <f t="shared" si="4"/>
        <v>0.90833333333333333</v>
      </c>
      <c r="F144" s="5">
        <v>11.23</v>
      </c>
      <c r="G144" s="5">
        <v>7428</v>
      </c>
      <c r="H144" s="5"/>
    </row>
    <row r="145" spans="1:8" x14ac:dyDescent="0.4">
      <c r="A145" s="4" t="s">
        <v>21</v>
      </c>
      <c r="B145" s="4" t="s">
        <v>22</v>
      </c>
      <c r="C145" s="5">
        <v>24</v>
      </c>
      <c r="D145" s="5">
        <v>58.5</v>
      </c>
      <c r="E145" s="5">
        <f t="shared" si="4"/>
        <v>0.97499999999999998</v>
      </c>
      <c r="F145" s="5">
        <v>10.88</v>
      </c>
      <c r="G145" s="5">
        <v>7413</v>
      </c>
      <c r="H145" s="5"/>
    </row>
    <row r="146" spans="1:8" x14ac:dyDescent="0.4">
      <c r="A146" s="4" t="s">
        <v>21</v>
      </c>
      <c r="B146" s="4" t="s">
        <v>22</v>
      </c>
      <c r="C146" s="5">
        <v>25</v>
      </c>
      <c r="D146" s="5">
        <v>54</v>
      </c>
      <c r="E146" s="5">
        <f t="shared" si="4"/>
        <v>0.9</v>
      </c>
      <c r="F146" s="5">
        <v>11.16</v>
      </c>
      <c r="G146" s="5">
        <v>7448</v>
      </c>
      <c r="H146" s="5"/>
    </row>
    <row r="147" spans="1:8" x14ac:dyDescent="0.4">
      <c r="A147" s="4" t="s">
        <v>21</v>
      </c>
      <c r="B147" s="4" t="s">
        <v>22</v>
      </c>
      <c r="C147" s="5">
        <v>26</v>
      </c>
      <c r="D147" s="5">
        <v>56.5</v>
      </c>
      <c r="E147" s="5">
        <f t="shared" si="4"/>
        <v>0.94166666666666665</v>
      </c>
      <c r="F147" s="5">
        <v>11.1</v>
      </c>
      <c r="G147" s="5">
        <v>7428</v>
      </c>
      <c r="H147" s="5"/>
    </row>
    <row r="148" spans="1:8" x14ac:dyDescent="0.4">
      <c r="A148" s="4" t="s">
        <v>21</v>
      </c>
      <c r="B148" s="4" t="s">
        <v>22</v>
      </c>
      <c r="C148" s="5">
        <v>27</v>
      </c>
      <c r="D148" s="5">
        <v>58</v>
      </c>
      <c r="E148" s="5">
        <f t="shared" si="4"/>
        <v>0.96666666666666667</v>
      </c>
      <c r="F148" s="5">
        <v>11.39</v>
      </c>
      <c r="G148" s="5">
        <v>7523</v>
      </c>
      <c r="H148" s="5"/>
    </row>
    <row r="149" spans="1:8" x14ac:dyDescent="0.4">
      <c r="A149" s="4" t="s">
        <v>21</v>
      </c>
      <c r="B149" s="4" t="s">
        <v>22</v>
      </c>
      <c r="C149" s="5">
        <v>28</v>
      </c>
      <c r="D149" s="5">
        <v>54.5</v>
      </c>
      <c r="E149" s="5">
        <f t="shared" si="4"/>
        <v>0.90833333333333333</v>
      </c>
      <c r="F149" s="5">
        <v>11.07</v>
      </c>
      <c r="G149" s="5">
        <v>7480</v>
      </c>
      <c r="H149" s="5"/>
    </row>
    <row r="150" spans="1:8" x14ac:dyDescent="0.4">
      <c r="A150" s="4" t="s">
        <v>21</v>
      </c>
      <c r="B150" s="4" t="s">
        <v>22</v>
      </c>
      <c r="C150" s="5">
        <v>29</v>
      </c>
      <c r="D150" s="5">
        <v>56</v>
      </c>
      <c r="E150" s="5">
        <f t="shared" si="4"/>
        <v>0.93333333333333335</v>
      </c>
      <c r="F150" s="5">
        <v>10.8</v>
      </c>
      <c r="G150" s="5">
        <v>7465</v>
      </c>
      <c r="H150" s="5"/>
    </row>
    <row r="151" spans="1:8" x14ac:dyDescent="0.4">
      <c r="A151" s="4" t="s">
        <v>21</v>
      </c>
      <c r="B151" s="4" t="s">
        <v>22</v>
      </c>
      <c r="C151" s="5">
        <v>30</v>
      </c>
      <c r="D151" s="5">
        <v>57</v>
      </c>
      <c r="E151" s="5">
        <f t="shared" si="4"/>
        <v>0.95</v>
      </c>
      <c r="F151" s="5">
        <v>11.45</v>
      </c>
      <c r="G151" s="5">
        <v>7492</v>
      </c>
      <c r="H151" s="5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BA91F-1D9B-4764-B8A3-B7CA03F5323E}">
  <dimension ref="A1:H26"/>
  <sheetViews>
    <sheetView workbookViewId="0">
      <selection activeCell="A2" sqref="A2"/>
    </sheetView>
  </sheetViews>
  <sheetFormatPr baseColWidth="10" defaultRowHeight="14.6" x14ac:dyDescent="0.4"/>
  <cols>
    <col min="1" max="1" width="11" customWidth="1"/>
    <col min="2" max="2" width="38" customWidth="1"/>
    <col min="3" max="3" width="9" customWidth="1"/>
    <col min="4" max="6" width="12" customWidth="1"/>
    <col min="7" max="7" width="19" customWidth="1"/>
    <col min="8" max="8" width="12.23046875" customWidth="1"/>
  </cols>
  <sheetData>
    <row r="1" spans="1:8" x14ac:dyDescent="0.4">
      <c r="A1" s="2" t="s">
        <v>7</v>
      </c>
      <c r="B1" s="2" t="s">
        <v>8</v>
      </c>
      <c r="C1" s="9" t="s">
        <v>24</v>
      </c>
      <c r="D1" s="2" t="s">
        <v>1</v>
      </c>
      <c r="E1" s="2" t="s">
        <v>23</v>
      </c>
      <c r="F1" s="2" t="s">
        <v>10</v>
      </c>
      <c r="G1" s="2" t="s">
        <v>11</v>
      </c>
      <c r="H1" s="2" t="s">
        <v>12</v>
      </c>
    </row>
    <row r="2" spans="1:8" x14ac:dyDescent="0.4">
      <c r="A2" t="s">
        <v>13</v>
      </c>
      <c r="B2" t="s">
        <v>14</v>
      </c>
      <c r="C2" t="s">
        <v>26</v>
      </c>
      <c r="D2">
        <v>48.5</v>
      </c>
      <c r="E2">
        <f>D2/50</f>
        <v>0.97</v>
      </c>
      <c r="F2">
        <v>94.78</v>
      </c>
      <c r="G2">
        <v>33112</v>
      </c>
    </row>
    <row r="3" spans="1:8" x14ac:dyDescent="0.4">
      <c r="A3" t="s">
        <v>13</v>
      </c>
      <c r="B3" t="s">
        <v>14</v>
      </c>
      <c r="C3" t="s">
        <v>27</v>
      </c>
      <c r="D3">
        <v>48</v>
      </c>
      <c r="E3">
        <f>D3/50</f>
        <v>0.96</v>
      </c>
      <c r="F3">
        <v>107.43</v>
      </c>
      <c r="G3">
        <v>34127</v>
      </c>
    </row>
    <row r="4" spans="1:8" x14ac:dyDescent="0.4">
      <c r="A4" t="s">
        <v>13</v>
      </c>
      <c r="B4" t="s">
        <v>14</v>
      </c>
      <c r="C4" s="10" t="s">
        <v>28</v>
      </c>
      <c r="D4">
        <v>49</v>
      </c>
      <c r="E4">
        <f t="shared" ref="E4:E6" si="0">D4/50</f>
        <v>0.98</v>
      </c>
      <c r="F4">
        <v>128.47999999999999</v>
      </c>
      <c r="G4">
        <v>54966</v>
      </c>
    </row>
    <row r="5" spans="1:8" x14ac:dyDescent="0.4">
      <c r="A5" t="s">
        <v>13</v>
      </c>
      <c r="B5" t="s">
        <v>14</v>
      </c>
      <c r="C5" t="s">
        <v>30</v>
      </c>
      <c r="D5">
        <v>48.5</v>
      </c>
      <c r="E5">
        <f t="shared" si="0"/>
        <v>0.97</v>
      </c>
      <c r="F5">
        <v>143.68</v>
      </c>
      <c r="G5">
        <v>65526</v>
      </c>
    </row>
    <row r="6" spans="1:8" x14ac:dyDescent="0.4">
      <c r="A6" t="s">
        <v>13</v>
      </c>
      <c r="B6" t="s">
        <v>14</v>
      </c>
      <c r="C6" t="s">
        <v>31</v>
      </c>
      <c r="D6">
        <v>48.5</v>
      </c>
      <c r="E6">
        <f t="shared" si="0"/>
        <v>0.97</v>
      </c>
      <c r="F6">
        <v>131.53</v>
      </c>
      <c r="G6">
        <v>57403</v>
      </c>
    </row>
    <row r="7" spans="1:8" x14ac:dyDescent="0.4">
      <c r="A7" t="s">
        <v>15</v>
      </c>
      <c r="B7" t="s">
        <v>16</v>
      </c>
      <c r="C7" t="s">
        <v>29</v>
      </c>
      <c r="D7">
        <v>67.5</v>
      </c>
      <c r="E7">
        <f>D7/67.5</f>
        <v>1</v>
      </c>
      <c r="F7">
        <v>121.02</v>
      </c>
      <c r="G7">
        <v>54927</v>
      </c>
    </row>
    <row r="8" spans="1:8" x14ac:dyDescent="0.4">
      <c r="A8" t="s">
        <v>15</v>
      </c>
      <c r="B8" t="s">
        <v>16</v>
      </c>
      <c r="C8" t="s">
        <v>32</v>
      </c>
      <c r="D8">
        <v>66.5</v>
      </c>
      <c r="E8">
        <f>D8/67.5</f>
        <v>0.98518518518518516</v>
      </c>
      <c r="F8">
        <v>164.04</v>
      </c>
      <c r="G8">
        <v>62571</v>
      </c>
    </row>
    <row r="9" spans="1:8" x14ac:dyDescent="0.4">
      <c r="A9" t="s">
        <v>15</v>
      </c>
      <c r="B9" t="s">
        <v>16</v>
      </c>
      <c r="C9" t="s">
        <v>33</v>
      </c>
      <c r="D9">
        <v>66.5</v>
      </c>
      <c r="E9">
        <f t="shared" ref="E9:E11" si="1">D9/67.5</f>
        <v>0.98518518518518516</v>
      </c>
      <c r="F9">
        <v>155.15</v>
      </c>
      <c r="G9">
        <v>49924</v>
      </c>
    </row>
    <row r="10" spans="1:8" x14ac:dyDescent="0.4">
      <c r="A10" t="s">
        <v>15</v>
      </c>
      <c r="B10" t="s">
        <v>16</v>
      </c>
      <c r="C10" t="s">
        <v>34</v>
      </c>
      <c r="D10">
        <v>66</v>
      </c>
      <c r="E10">
        <f t="shared" si="1"/>
        <v>0.97777777777777775</v>
      </c>
      <c r="F10">
        <v>105.12</v>
      </c>
      <c r="G10">
        <v>30135</v>
      </c>
    </row>
    <row r="11" spans="1:8" x14ac:dyDescent="0.4">
      <c r="A11" t="s">
        <v>15</v>
      </c>
      <c r="B11" t="s">
        <v>16</v>
      </c>
      <c r="C11" t="s">
        <v>35</v>
      </c>
      <c r="D11">
        <v>67</v>
      </c>
      <c r="E11">
        <f t="shared" si="1"/>
        <v>0.99259259259259258</v>
      </c>
      <c r="F11">
        <v>157.09</v>
      </c>
      <c r="G11">
        <v>60954</v>
      </c>
    </row>
    <row r="12" spans="1:8" x14ac:dyDescent="0.4">
      <c r="A12" t="s">
        <v>17</v>
      </c>
      <c r="B12" t="s">
        <v>18</v>
      </c>
      <c r="C12" t="s">
        <v>36</v>
      </c>
      <c r="D12">
        <v>60</v>
      </c>
      <c r="E12">
        <f>D12/60</f>
        <v>1</v>
      </c>
      <c r="F12">
        <v>148.4</v>
      </c>
      <c r="G12">
        <v>36814</v>
      </c>
    </row>
    <row r="13" spans="1:8" x14ac:dyDescent="0.4">
      <c r="A13" t="s">
        <v>17</v>
      </c>
      <c r="B13" t="s">
        <v>18</v>
      </c>
      <c r="C13" t="s">
        <v>37</v>
      </c>
      <c r="D13">
        <v>59.5</v>
      </c>
      <c r="E13">
        <f t="shared" ref="E13:E26" si="2">D13/60</f>
        <v>0.9916666666666667</v>
      </c>
      <c r="F13">
        <v>167.52</v>
      </c>
      <c r="G13">
        <v>63798</v>
      </c>
    </row>
    <row r="14" spans="1:8" x14ac:dyDescent="0.4">
      <c r="A14" t="s">
        <v>17</v>
      </c>
      <c r="B14" t="s">
        <v>18</v>
      </c>
      <c r="C14" t="s">
        <v>38</v>
      </c>
      <c r="D14">
        <v>59</v>
      </c>
      <c r="E14">
        <f t="shared" si="2"/>
        <v>0.98333333333333328</v>
      </c>
      <c r="F14">
        <v>196.92</v>
      </c>
      <c r="G14">
        <v>53579</v>
      </c>
    </row>
    <row r="15" spans="1:8" x14ac:dyDescent="0.4">
      <c r="A15" t="s">
        <v>17</v>
      </c>
      <c r="B15" t="s">
        <v>18</v>
      </c>
      <c r="C15" t="s">
        <v>39</v>
      </c>
      <c r="D15">
        <v>60</v>
      </c>
      <c r="E15">
        <f t="shared" si="2"/>
        <v>1</v>
      </c>
      <c r="F15">
        <v>250.61</v>
      </c>
      <c r="G15">
        <v>96510</v>
      </c>
    </row>
    <row r="16" spans="1:8" x14ac:dyDescent="0.4">
      <c r="A16" t="s">
        <v>17</v>
      </c>
      <c r="B16" t="s">
        <v>18</v>
      </c>
      <c r="C16" t="s">
        <v>40</v>
      </c>
      <c r="D16">
        <v>59.5</v>
      </c>
      <c r="E16">
        <f t="shared" si="2"/>
        <v>0.9916666666666667</v>
      </c>
      <c r="F16">
        <v>104.71</v>
      </c>
      <c r="G16">
        <v>21513</v>
      </c>
    </row>
    <row r="17" spans="1:7" x14ac:dyDescent="0.4">
      <c r="A17" t="s">
        <v>19</v>
      </c>
      <c r="B17" t="s">
        <v>20</v>
      </c>
      <c r="C17" t="s">
        <v>41</v>
      </c>
      <c r="D17">
        <v>70</v>
      </c>
      <c r="E17">
        <f>D17/70</f>
        <v>1</v>
      </c>
      <c r="F17">
        <v>128.22</v>
      </c>
      <c r="G17">
        <v>30024</v>
      </c>
    </row>
    <row r="18" spans="1:7" x14ac:dyDescent="0.4">
      <c r="A18" t="s">
        <v>19</v>
      </c>
      <c r="B18" t="s">
        <v>20</v>
      </c>
      <c r="C18" t="s">
        <v>42</v>
      </c>
      <c r="D18">
        <v>67.5</v>
      </c>
      <c r="E18">
        <f t="shared" ref="E18:E21" si="3">D18/70</f>
        <v>0.9642857142857143</v>
      </c>
      <c r="F18">
        <v>170.67</v>
      </c>
      <c r="G18">
        <v>71299</v>
      </c>
    </row>
    <row r="19" spans="1:7" x14ac:dyDescent="0.4">
      <c r="A19" t="s">
        <v>19</v>
      </c>
      <c r="B19" t="s">
        <v>20</v>
      </c>
      <c r="C19" t="s">
        <v>43</v>
      </c>
      <c r="D19">
        <v>68</v>
      </c>
      <c r="E19">
        <f t="shared" si="3"/>
        <v>0.97142857142857142</v>
      </c>
      <c r="F19">
        <v>174.86</v>
      </c>
      <c r="G19">
        <v>68566</v>
      </c>
    </row>
    <row r="20" spans="1:7" x14ac:dyDescent="0.4">
      <c r="A20" t="s">
        <v>19</v>
      </c>
      <c r="B20" t="s">
        <v>20</v>
      </c>
      <c r="C20" t="s">
        <v>44</v>
      </c>
      <c r="D20">
        <v>69.5</v>
      </c>
      <c r="E20">
        <f t="shared" si="3"/>
        <v>0.99285714285714288</v>
      </c>
      <c r="F20">
        <v>199.13</v>
      </c>
      <c r="G20">
        <v>72672</v>
      </c>
    </row>
    <row r="21" spans="1:7" x14ac:dyDescent="0.4">
      <c r="A21" t="s">
        <v>19</v>
      </c>
      <c r="B21" t="s">
        <v>20</v>
      </c>
      <c r="C21" t="s">
        <v>45</v>
      </c>
      <c r="D21">
        <v>69</v>
      </c>
      <c r="E21">
        <f t="shared" si="3"/>
        <v>0.98571428571428577</v>
      </c>
      <c r="F21">
        <v>190.76</v>
      </c>
      <c r="G21">
        <v>82090</v>
      </c>
    </row>
    <row r="22" spans="1:7" x14ac:dyDescent="0.4">
      <c r="A22" t="s">
        <v>21</v>
      </c>
      <c r="B22" t="s">
        <v>22</v>
      </c>
      <c r="C22" t="s">
        <v>46</v>
      </c>
      <c r="D22">
        <v>59.5</v>
      </c>
      <c r="E22">
        <f t="shared" si="2"/>
        <v>0.9916666666666667</v>
      </c>
      <c r="F22">
        <v>146.68</v>
      </c>
      <c r="G22">
        <v>67349</v>
      </c>
    </row>
    <row r="23" spans="1:7" x14ac:dyDescent="0.4">
      <c r="A23" t="s">
        <v>21</v>
      </c>
      <c r="B23" t="s">
        <v>22</v>
      </c>
      <c r="C23" t="s">
        <v>47</v>
      </c>
      <c r="D23">
        <v>59.5</v>
      </c>
      <c r="E23">
        <f t="shared" si="2"/>
        <v>0.9916666666666667</v>
      </c>
      <c r="F23">
        <v>115.63</v>
      </c>
      <c r="G23">
        <v>49184</v>
      </c>
    </row>
    <row r="24" spans="1:7" x14ac:dyDescent="0.4">
      <c r="A24" t="s">
        <v>21</v>
      </c>
      <c r="B24" t="s">
        <v>22</v>
      </c>
      <c r="C24" t="s">
        <v>48</v>
      </c>
      <c r="D24">
        <v>58.5</v>
      </c>
      <c r="E24">
        <f t="shared" si="2"/>
        <v>0.97499999999999998</v>
      </c>
      <c r="F24">
        <v>75.8</v>
      </c>
      <c r="G24">
        <v>20519</v>
      </c>
    </row>
    <row r="25" spans="1:7" x14ac:dyDescent="0.4">
      <c r="A25" t="s">
        <v>21</v>
      </c>
      <c r="B25" t="s">
        <v>22</v>
      </c>
      <c r="C25" t="s">
        <v>49</v>
      </c>
      <c r="D25">
        <v>59</v>
      </c>
      <c r="E25">
        <f t="shared" si="2"/>
        <v>0.98333333333333328</v>
      </c>
      <c r="F25">
        <v>109</v>
      </c>
      <c r="G25">
        <v>33329</v>
      </c>
    </row>
    <row r="26" spans="1:7" x14ac:dyDescent="0.4">
      <c r="A26" t="s">
        <v>21</v>
      </c>
      <c r="B26" t="s">
        <v>22</v>
      </c>
      <c r="C26" t="s">
        <v>50</v>
      </c>
      <c r="D26">
        <v>59.5</v>
      </c>
      <c r="E26">
        <f t="shared" si="2"/>
        <v>0.9916666666666667</v>
      </c>
      <c r="F26">
        <v>157.16999999999999</v>
      </c>
      <c r="G26">
        <v>57413</v>
      </c>
    </row>
  </sheetData>
  <phoneticPr fontId="3" type="noConversion"/>
  <pageMargins left="0.7" right="0.7" top="0.78740157499999996" bottom="0.78740157499999996" header="0.3" footer="0.3"/>
  <pageSetup paperSize="9" orientation="portrait" horizontalDpi="1200" verticalDpi="1200" r:id="rId1"/>
  <ignoredErrors>
    <ignoredError sqref="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Overview</vt:lpstr>
      <vt:lpstr>XML</vt:lpstr>
      <vt:lpstr>JSON</vt:lpstr>
      <vt:lpstr>LION</vt:lpstr>
      <vt:lpstr>Agentic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Seyyid Ciftci</cp:lastModifiedBy>
  <cp:revision>4</cp:revision>
  <dcterms:created xsi:type="dcterms:W3CDTF">2026-03-05T16:10:37Z</dcterms:created>
  <dcterms:modified xsi:type="dcterms:W3CDTF">2026-03-21T02:06:21Z</dcterms:modified>
  <dc:language>de-DE</dc:language>
</cp:coreProperties>
</file>