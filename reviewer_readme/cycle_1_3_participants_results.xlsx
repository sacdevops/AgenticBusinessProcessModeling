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67f078e81058cc3/Desktop/Paper/_In Process/BPM26 - Agentic Process Modeling/Agentic Process Modeling/reviewer_readme/"/>
    </mc:Choice>
  </mc:AlternateContent>
  <xr:revisionPtr revIDLastSave="1" documentId="13_ncr:1_{894CE981-E84C-49C3-911A-2832A42D9BBF}" xr6:coauthVersionLast="47" xr6:coauthVersionMax="47" xr10:uidLastSave="{418CBD18-D512-4147-B351-4D3216521A13}"/>
  <bookViews>
    <workbookView xWindow="-103" yWindow="-103" windowWidth="22149" windowHeight="13200" xr2:uid="{00000000-000D-0000-FFFF-FFFF00000000}"/>
  </bookViews>
  <sheets>
    <sheet name="first study" sheetId="1" r:id="rId1"/>
    <sheet name="second study" sheetId="2" r:id="rId2"/>
  </sheets>
  <definedNames>
    <definedName name="_xlnm._FilterDatabase" localSheetId="0" hidden="1">'first study'!$A$1:$K$1</definedName>
    <definedName name="_xlnm._FilterDatabase" localSheetId="1" hidden="1">'second study'!$A$1:$K$1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" i="2" l="1"/>
  <c r="J26" i="2"/>
  <c r="J3" i="2"/>
  <c r="J25" i="2"/>
  <c r="J6" i="2"/>
  <c r="J24" i="2"/>
  <c r="J23" i="2"/>
  <c r="J8" i="2"/>
  <c r="J22" i="2"/>
  <c r="J21" i="2"/>
  <c r="J14" i="2"/>
  <c r="J20" i="2"/>
  <c r="J9" i="2"/>
  <c r="J5" i="2"/>
  <c r="J4" i="2"/>
  <c r="C2" i="2"/>
  <c r="D2" i="2"/>
  <c r="E2" i="2"/>
  <c r="F2" i="2"/>
  <c r="G2" i="2"/>
  <c r="H2" i="2"/>
  <c r="I2" i="2"/>
  <c r="K2" i="2"/>
  <c r="B2" i="2"/>
  <c r="J18" i="2"/>
  <c r="J17" i="2"/>
  <c r="J16" i="2"/>
  <c r="J7" i="2"/>
  <c r="J15" i="2"/>
  <c r="J10" i="2"/>
  <c r="J11" i="2"/>
  <c r="J13" i="2"/>
  <c r="J12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4" i="2"/>
  <c r="H5" i="2"/>
  <c r="H6" i="2"/>
  <c r="H7" i="2"/>
  <c r="H8" i="2"/>
  <c r="H9" i="2"/>
  <c r="H10" i="2"/>
  <c r="H11" i="2"/>
  <c r="H3" i="2"/>
  <c r="C49" i="1"/>
  <c r="D49" i="1"/>
  <c r="E49" i="1"/>
  <c r="F49" i="1"/>
  <c r="G49" i="1"/>
  <c r="I49" i="1"/>
  <c r="J49" i="1"/>
  <c r="C50" i="1"/>
  <c r="D50" i="1"/>
  <c r="E50" i="1"/>
  <c r="F50" i="1"/>
  <c r="G50" i="1"/>
  <c r="I50" i="1"/>
  <c r="J50" i="1"/>
  <c r="C51" i="1"/>
  <c r="D51" i="1"/>
  <c r="E51" i="1"/>
  <c r="F51" i="1"/>
  <c r="G51" i="1"/>
  <c r="H51" i="1"/>
  <c r="I51" i="1"/>
  <c r="J51" i="1"/>
  <c r="C52" i="1"/>
  <c r="D52" i="1"/>
  <c r="E52" i="1"/>
  <c r="F52" i="1"/>
  <c r="G52" i="1"/>
  <c r="I52" i="1"/>
  <c r="J52" i="1"/>
  <c r="B50" i="1"/>
  <c r="B51" i="1"/>
  <c r="B52" i="1"/>
  <c r="B4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52" i="1" s="1"/>
  <c r="H46" i="1"/>
  <c r="H49" i="1" s="1"/>
  <c r="H2" i="1"/>
  <c r="H50" i="1" s="1"/>
  <c r="J2" i="2" l="1"/>
</calcChain>
</file>

<file path=xl/sharedStrings.xml><?xml version="1.0" encoding="utf-8"?>
<sst xmlns="http://schemas.openxmlformats.org/spreadsheetml/2006/main" count="151" uniqueCount="58">
  <si>
    <t>Participant</t>
  </si>
  <si>
    <t>Mental</t>
  </si>
  <si>
    <t>Physical</t>
  </si>
  <si>
    <t>Temporal</t>
  </si>
  <si>
    <t>Performance</t>
  </si>
  <si>
    <t>Effort</t>
  </si>
  <si>
    <t>Frustration</t>
  </si>
  <si>
    <t>Score</t>
  </si>
  <si>
    <t>Time</t>
  </si>
  <si>
    <t>Mode</t>
  </si>
  <si>
    <t>Overall</t>
  </si>
  <si>
    <t>P1</t>
  </si>
  <si>
    <t>P2</t>
  </si>
  <si>
    <t>P4</t>
  </si>
  <si>
    <t>P5</t>
  </si>
  <si>
    <t>P6</t>
  </si>
  <si>
    <t>P7</t>
  </si>
  <si>
    <t>P9</t>
  </si>
  <si>
    <t>P10</t>
  </si>
  <si>
    <t>P11</t>
  </si>
  <si>
    <t>P12</t>
  </si>
  <si>
    <t>P14</t>
  </si>
  <si>
    <t>P15</t>
  </si>
  <si>
    <t>P8</t>
  </si>
  <si>
    <t>P17</t>
  </si>
  <si>
    <t>AI Assistant</t>
  </si>
  <si>
    <t>AI Supervisor</t>
  </si>
  <si>
    <t>AI Colleague</t>
  </si>
  <si>
    <t>Baseline</t>
  </si>
  <si>
    <t>P13</t>
  </si>
  <si>
    <t>Task</t>
  </si>
  <si>
    <t>Performance (Inverted)</t>
  </si>
  <si>
    <t>Average</t>
  </si>
  <si>
    <t>Norm. Score</t>
  </si>
  <si>
    <t>task01_3a8fe638</t>
  </si>
  <si>
    <t>task01_8d3255d7</t>
  </si>
  <si>
    <t>task01_8d381737</t>
  </si>
  <si>
    <t>task01_9c1d2180</t>
  </si>
  <si>
    <t>task01_5952ee9b</t>
  </si>
  <si>
    <t>task01_981312fc</t>
  </si>
  <si>
    <t>task01_a89e22fe</t>
  </si>
  <si>
    <t>task02_2742f5dc</t>
  </si>
  <si>
    <t>task02_b8b65915</t>
  </si>
  <si>
    <t>task02_bb89b7f3</t>
  </si>
  <si>
    <t>task02_eb7eb089</t>
  </si>
  <si>
    <t>task02_fa6d4ded</t>
  </si>
  <si>
    <t>task03_55dedf43</t>
  </si>
  <si>
    <t>task03_533437e9</t>
  </si>
  <si>
    <t>task03_ae5f315e</t>
  </si>
  <si>
    <t>task03_b3f9bc0f</t>
  </si>
  <si>
    <t>task03_e149f164</t>
  </si>
  <si>
    <t>task04_9d33a55b</t>
  </si>
  <si>
    <t>task04_929ff87a</t>
  </si>
  <si>
    <t>task04_d2ca6e56</t>
  </si>
  <si>
    <t>task04_ef950405</t>
  </si>
  <si>
    <t>task05_cdcaba4a</t>
  </si>
  <si>
    <t>task04_b28ba8d2</t>
  </si>
  <si>
    <t>task02_ed1170c7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</si>
</sst>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/>
  </cellXfs>
  <cellStyles count="1">
    <cellStyle name="Standard" xfId="0" builtinId="0"/>
  </cellStyles>
  <dxfs count="1"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D19" sqref="D19"/>
    </sheetView>
  </sheetViews>
  <sheetFormatPr baseColWidth="10" defaultColWidth="9.23046875" defaultRowHeight="14.6" x14ac:dyDescent="0.4"/>
  <cols>
    <col min="1" max="1" width="12.23046875" bestFit="1" customWidth="1"/>
    <col min="2" max="2" width="9.07421875" bestFit="1" customWidth="1"/>
    <col min="3" max="3" width="9.921875" bestFit="1" customWidth="1"/>
    <col min="4" max="4" width="11.15234375" bestFit="1" customWidth="1"/>
    <col min="5" max="5" width="13.921875" bestFit="1" customWidth="1"/>
    <col min="6" max="6" width="7.921875" bestFit="1" customWidth="1"/>
    <col min="7" max="7" width="12.3046875" bestFit="1" customWidth="1"/>
    <col min="8" max="9" width="11.84375" bestFit="1" customWidth="1"/>
    <col min="10" max="10" width="7.3828125" bestFit="1" customWidth="1"/>
    <col min="11" max="11" width="11.921875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5</v>
      </c>
      <c r="G1" s="1" t="s">
        <v>6</v>
      </c>
      <c r="H1" s="1" t="s">
        <v>10</v>
      </c>
      <c r="I1" s="1" t="s">
        <v>7</v>
      </c>
      <c r="J1" s="1" t="s">
        <v>8</v>
      </c>
      <c r="K1" s="1" t="s">
        <v>9</v>
      </c>
    </row>
    <row r="2" spans="1:11" x14ac:dyDescent="0.4">
      <c r="A2" t="s">
        <v>11</v>
      </c>
      <c r="B2">
        <v>4</v>
      </c>
      <c r="C2">
        <v>6</v>
      </c>
      <c r="D2">
        <v>3</v>
      </c>
      <c r="E2">
        <v>2</v>
      </c>
      <c r="F2">
        <v>3</v>
      </c>
      <c r="G2">
        <v>2</v>
      </c>
      <c r="H2">
        <f>SUM(B2:G2)/COUNTA($B$1:$G$1)</f>
        <v>3.3333333333333335</v>
      </c>
      <c r="I2">
        <v>65.8333333333333</v>
      </c>
      <c r="J2">
        <v>330.76</v>
      </c>
      <c r="K2" t="s">
        <v>25</v>
      </c>
    </row>
    <row r="3" spans="1:11" x14ac:dyDescent="0.4">
      <c r="A3" t="s">
        <v>11</v>
      </c>
      <c r="B3">
        <v>6</v>
      </c>
      <c r="C3">
        <v>5</v>
      </c>
      <c r="D3">
        <v>6</v>
      </c>
      <c r="E3">
        <v>5</v>
      </c>
      <c r="F3">
        <v>5</v>
      </c>
      <c r="G3">
        <v>3</v>
      </c>
      <c r="H3">
        <f t="shared" ref="H3:H46" si="0">SUM(B3:G3)/COUNTA($B$1:$G$1)</f>
        <v>5</v>
      </c>
      <c r="I3">
        <v>93</v>
      </c>
      <c r="J3">
        <v>780</v>
      </c>
      <c r="K3" t="s">
        <v>26</v>
      </c>
    </row>
    <row r="4" spans="1:11" x14ac:dyDescent="0.4">
      <c r="A4" t="s">
        <v>11</v>
      </c>
      <c r="B4">
        <v>6</v>
      </c>
      <c r="C4">
        <v>3</v>
      </c>
      <c r="D4">
        <v>2</v>
      </c>
      <c r="E4">
        <v>2</v>
      </c>
      <c r="F4">
        <v>6</v>
      </c>
      <c r="G4">
        <v>3</v>
      </c>
      <c r="H4">
        <f t="shared" si="0"/>
        <v>3.6666666666666665</v>
      </c>
      <c r="I4">
        <v>81</v>
      </c>
      <c r="J4">
        <v>735.07</v>
      </c>
      <c r="K4" t="s">
        <v>28</v>
      </c>
    </row>
    <row r="5" spans="1:11" x14ac:dyDescent="0.4">
      <c r="A5" t="s">
        <v>18</v>
      </c>
      <c r="B5">
        <v>2</v>
      </c>
      <c r="C5">
        <v>2</v>
      </c>
      <c r="D5">
        <v>3</v>
      </c>
      <c r="E5">
        <v>1</v>
      </c>
      <c r="F5">
        <v>2</v>
      </c>
      <c r="G5">
        <v>2</v>
      </c>
      <c r="H5">
        <f t="shared" si="0"/>
        <v>2</v>
      </c>
      <c r="I5">
        <v>87</v>
      </c>
      <c r="J5">
        <v>471.41</v>
      </c>
      <c r="K5" t="s">
        <v>27</v>
      </c>
    </row>
    <row r="6" spans="1:11" x14ac:dyDescent="0.4">
      <c r="A6" t="s">
        <v>18</v>
      </c>
      <c r="B6">
        <v>6</v>
      </c>
      <c r="C6">
        <v>2</v>
      </c>
      <c r="D6">
        <v>6</v>
      </c>
      <c r="E6">
        <v>5</v>
      </c>
      <c r="F6">
        <v>5</v>
      </c>
      <c r="G6">
        <v>5</v>
      </c>
      <c r="H6">
        <f t="shared" si="0"/>
        <v>4.833333333333333</v>
      </c>
      <c r="I6">
        <v>83</v>
      </c>
      <c r="J6">
        <v>780</v>
      </c>
      <c r="K6" t="s">
        <v>26</v>
      </c>
    </row>
    <row r="7" spans="1:11" x14ac:dyDescent="0.4">
      <c r="A7" t="s">
        <v>18</v>
      </c>
      <c r="B7">
        <v>5</v>
      </c>
      <c r="C7">
        <v>2</v>
      </c>
      <c r="D7">
        <v>5</v>
      </c>
      <c r="E7">
        <v>2</v>
      </c>
      <c r="F7">
        <v>5</v>
      </c>
      <c r="G7">
        <v>4</v>
      </c>
      <c r="H7">
        <f t="shared" si="0"/>
        <v>3.8333333333333335</v>
      </c>
      <c r="I7">
        <v>78.333333333333329</v>
      </c>
      <c r="J7">
        <v>780</v>
      </c>
      <c r="K7" t="s">
        <v>28</v>
      </c>
    </row>
    <row r="8" spans="1:11" x14ac:dyDescent="0.4">
      <c r="A8" t="s">
        <v>19</v>
      </c>
      <c r="B8">
        <v>3</v>
      </c>
      <c r="C8">
        <v>2</v>
      </c>
      <c r="D8">
        <v>5</v>
      </c>
      <c r="E8">
        <v>3</v>
      </c>
      <c r="F8">
        <v>3</v>
      </c>
      <c r="G8">
        <v>2</v>
      </c>
      <c r="H8">
        <f t="shared" si="0"/>
        <v>3</v>
      </c>
      <c r="I8">
        <v>77</v>
      </c>
      <c r="J8">
        <v>780</v>
      </c>
      <c r="K8" t="s">
        <v>25</v>
      </c>
    </row>
    <row r="9" spans="1:11" x14ac:dyDescent="0.4">
      <c r="A9" t="s">
        <v>19</v>
      </c>
      <c r="B9">
        <v>4</v>
      </c>
      <c r="C9">
        <v>1</v>
      </c>
      <c r="D9">
        <v>5</v>
      </c>
      <c r="E9">
        <v>5</v>
      </c>
      <c r="F9">
        <v>4</v>
      </c>
      <c r="G9">
        <v>5</v>
      </c>
      <c r="H9">
        <f t="shared" si="0"/>
        <v>4</v>
      </c>
      <c r="I9">
        <v>76.666666666666671</v>
      </c>
      <c r="J9">
        <v>780</v>
      </c>
      <c r="K9" t="s">
        <v>26</v>
      </c>
    </row>
    <row r="10" spans="1:11" x14ac:dyDescent="0.4">
      <c r="A10" t="s">
        <v>19</v>
      </c>
      <c r="B10">
        <v>2</v>
      </c>
      <c r="C10">
        <v>1</v>
      </c>
      <c r="D10">
        <v>1</v>
      </c>
      <c r="E10">
        <v>2</v>
      </c>
      <c r="F10">
        <v>2</v>
      </c>
      <c r="G10">
        <v>1</v>
      </c>
      <c r="H10">
        <f t="shared" si="0"/>
        <v>1.5</v>
      </c>
      <c r="I10">
        <v>69.166666666666671</v>
      </c>
      <c r="J10">
        <v>565.20000000000005</v>
      </c>
      <c r="K10" t="s">
        <v>28</v>
      </c>
    </row>
    <row r="11" spans="1:11" x14ac:dyDescent="0.4">
      <c r="A11" t="s">
        <v>20</v>
      </c>
      <c r="B11">
        <v>5</v>
      </c>
      <c r="C11">
        <v>5</v>
      </c>
      <c r="D11">
        <v>5</v>
      </c>
      <c r="E11">
        <v>4</v>
      </c>
      <c r="F11">
        <v>5</v>
      </c>
      <c r="G11">
        <v>5</v>
      </c>
      <c r="H11">
        <f t="shared" si="0"/>
        <v>4.833333333333333</v>
      </c>
      <c r="I11">
        <v>85</v>
      </c>
      <c r="J11">
        <v>780</v>
      </c>
      <c r="K11" t="s">
        <v>25</v>
      </c>
    </row>
    <row r="12" spans="1:11" x14ac:dyDescent="0.4">
      <c r="A12" t="s">
        <v>20</v>
      </c>
      <c r="B12">
        <v>6</v>
      </c>
      <c r="C12">
        <v>4</v>
      </c>
      <c r="D12">
        <v>5</v>
      </c>
      <c r="E12">
        <v>3</v>
      </c>
      <c r="F12">
        <v>5</v>
      </c>
      <c r="G12">
        <v>5</v>
      </c>
      <c r="H12">
        <f t="shared" si="0"/>
        <v>4.666666666666667</v>
      </c>
      <c r="I12">
        <v>56.999999999999993</v>
      </c>
      <c r="J12">
        <v>780</v>
      </c>
      <c r="K12" t="s">
        <v>27</v>
      </c>
    </row>
    <row r="13" spans="1:11" x14ac:dyDescent="0.4">
      <c r="A13" t="s">
        <v>20</v>
      </c>
      <c r="B13">
        <v>4</v>
      </c>
      <c r="C13">
        <v>5</v>
      </c>
      <c r="D13">
        <v>4</v>
      </c>
      <c r="E13">
        <v>2</v>
      </c>
      <c r="F13">
        <v>4</v>
      </c>
      <c r="G13">
        <v>5</v>
      </c>
      <c r="H13">
        <f t="shared" si="0"/>
        <v>4</v>
      </c>
      <c r="I13">
        <v>81</v>
      </c>
      <c r="J13">
        <v>780</v>
      </c>
      <c r="K13" t="s">
        <v>28</v>
      </c>
    </row>
    <row r="14" spans="1:11" x14ac:dyDescent="0.4">
      <c r="A14" t="s">
        <v>21</v>
      </c>
      <c r="B14">
        <v>2</v>
      </c>
      <c r="C14">
        <v>3</v>
      </c>
      <c r="D14">
        <v>1</v>
      </c>
      <c r="E14">
        <v>2</v>
      </c>
      <c r="F14">
        <v>2</v>
      </c>
      <c r="G14">
        <v>3</v>
      </c>
      <c r="H14">
        <f t="shared" si="0"/>
        <v>2.1666666666666665</v>
      </c>
      <c r="I14">
        <v>86.25</v>
      </c>
      <c r="J14">
        <v>621.20000000000005</v>
      </c>
      <c r="K14" t="s">
        <v>25</v>
      </c>
    </row>
    <row r="15" spans="1:11" x14ac:dyDescent="0.4">
      <c r="A15" t="s">
        <v>21</v>
      </c>
      <c r="B15">
        <v>5</v>
      </c>
      <c r="C15">
        <v>2</v>
      </c>
      <c r="D15">
        <v>5</v>
      </c>
      <c r="E15">
        <v>3</v>
      </c>
      <c r="F15">
        <v>2</v>
      </c>
      <c r="G15">
        <v>5</v>
      </c>
      <c r="H15">
        <f t="shared" si="0"/>
        <v>3.6666666666666665</v>
      </c>
      <c r="I15">
        <v>85</v>
      </c>
      <c r="J15">
        <v>754.99</v>
      </c>
      <c r="K15" t="s">
        <v>27</v>
      </c>
    </row>
    <row r="16" spans="1:11" x14ac:dyDescent="0.4">
      <c r="A16" t="s">
        <v>21</v>
      </c>
      <c r="B16">
        <v>2</v>
      </c>
      <c r="C16">
        <v>2</v>
      </c>
      <c r="D16">
        <v>2</v>
      </c>
      <c r="E16">
        <v>3</v>
      </c>
      <c r="F16">
        <v>3</v>
      </c>
      <c r="G16">
        <v>5</v>
      </c>
      <c r="H16">
        <f t="shared" si="0"/>
        <v>2.8333333333333335</v>
      </c>
      <c r="I16">
        <v>73.333333333333329</v>
      </c>
      <c r="J16">
        <v>528.41999999999996</v>
      </c>
      <c r="K16" t="s">
        <v>28</v>
      </c>
    </row>
    <row r="17" spans="1:11" x14ac:dyDescent="0.4">
      <c r="A17" t="s">
        <v>22</v>
      </c>
      <c r="B17">
        <v>2</v>
      </c>
      <c r="C17">
        <v>3</v>
      </c>
      <c r="D17">
        <v>2</v>
      </c>
      <c r="E17">
        <v>1</v>
      </c>
      <c r="F17">
        <v>2</v>
      </c>
      <c r="G17">
        <v>1</v>
      </c>
      <c r="H17">
        <f t="shared" si="0"/>
        <v>1.8333333333333333</v>
      </c>
      <c r="I17">
        <v>97.5</v>
      </c>
      <c r="J17">
        <v>532.97</v>
      </c>
      <c r="K17" t="s">
        <v>25</v>
      </c>
    </row>
    <row r="18" spans="1:11" x14ac:dyDescent="0.4">
      <c r="A18" t="s">
        <v>22</v>
      </c>
      <c r="B18">
        <v>5</v>
      </c>
      <c r="C18">
        <v>4</v>
      </c>
      <c r="D18">
        <v>2</v>
      </c>
      <c r="E18">
        <v>1</v>
      </c>
      <c r="F18">
        <v>3</v>
      </c>
      <c r="G18">
        <v>2</v>
      </c>
      <c r="H18">
        <f t="shared" si="0"/>
        <v>2.8333333333333335</v>
      </c>
      <c r="I18">
        <v>95.833333333333343</v>
      </c>
      <c r="J18">
        <v>780</v>
      </c>
      <c r="K18" t="s">
        <v>26</v>
      </c>
    </row>
    <row r="19" spans="1:11" x14ac:dyDescent="0.4">
      <c r="A19" t="s">
        <v>22</v>
      </c>
      <c r="B19">
        <v>6</v>
      </c>
      <c r="C19">
        <v>5</v>
      </c>
      <c r="D19">
        <v>6</v>
      </c>
      <c r="E19">
        <v>2</v>
      </c>
      <c r="F19">
        <v>5</v>
      </c>
      <c r="G19">
        <v>3</v>
      </c>
      <c r="H19">
        <f t="shared" si="0"/>
        <v>4.5</v>
      </c>
      <c r="I19">
        <v>91</v>
      </c>
      <c r="J19">
        <v>780</v>
      </c>
      <c r="K19" t="s">
        <v>28</v>
      </c>
    </row>
    <row r="20" spans="1:11" x14ac:dyDescent="0.4">
      <c r="A20" t="s">
        <v>24</v>
      </c>
      <c r="B20">
        <v>6</v>
      </c>
      <c r="C20">
        <v>6</v>
      </c>
      <c r="D20">
        <v>6</v>
      </c>
      <c r="E20">
        <v>3</v>
      </c>
      <c r="F20">
        <v>5</v>
      </c>
      <c r="G20">
        <v>4</v>
      </c>
      <c r="H20">
        <f t="shared" si="0"/>
        <v>5</v>
      </c>
      <c r="I20">
        <v>69.166666666666671</v>
      </c>
      <c r="J20">
        <v>780</v>
      </c>
      <c r="K20" t="s">
        <v>26</v>
      </c>
    </row>
    <row r="21" spans="1:11" x14ac:dyDescent="0.4">
      <c r="A21" t="s">
        <v>24</v>
      </c>
      <c r="B21">
        <v>6</v>
      </c>
      <c r="C21">
        <v>6</v>
      </c>
      <c r="D21">
        <v>6</v>
      </c>
      <c r="E21">
        <v>3</v>
      </c>
      <c r="F21">
        <v>5</v>
      </c>
      <c r="G21">
        <v>4</v>
      </c>
      <c r="H21">
        <f t="shared" si="0"/>
        <v>5</v>
      </c>
      <c r="I21">
        <v>76</v>
      </c>
      <c r="J21">
        <v>780</v>
      </c>
      <c r="K21" t="s">
        <v>25</v>
      </c>
    </row>
    <row r="22" spans="1:11" x14ac:dyDescent="0.4">
      <c r="A22" t="s">
        <v>24</v>
      </c>
      <c r="B22">
        <v>6</v>
      </c>
      <c r="C22">
        <v>5</v>
      </c>
      <c r="D22">
        <v>6</v>
      </c>
      <c r="E22">
        <v>3</v>
      </c>
      <c r="F22">
        <v>5</v>
      </c>
      <c r="G22">
        <v>4</v>
      </c>
      <c r="H22">
        <f t="shared" si="0"/>
        <v>4.833333333333333</v>
      </c>
      <c r="I22">
        <v>69.166666666666671</v>
      </c>
      <c r="J22">
        <v>780</v>
      </c>
      <c r="K22" t="s">
        <v>28</v>
      </c>
    </row>
    <row r="23" spans="1:11" x14ac:dyDescent="0.4">
      <c r="A23" t="s">
        <v>12</v>
      </c>
      <c r="B23">
        <v>5</v>
      </c>
      <c r="C23">
        <v>4</v>
      </c>
      <c r="D23">
        <v>4</v>
      </c>
      <c r="E23">
        <v>3</v>
      </c>
      <c r="F23">
        <v>5</v>
      </c>
      <c r="G23">
        <v>5</v>
      </c>
      <c r="H23">
        <f t="shared" si="0"/>
        <v>4.333333333333333</v>
      </c>
      <c r="I23">
        <v>78</v>
      </c>
      <c r="J23">
        <v>780</v>
      </c>
      <c r="K23" t="s">
        <v>25</v>
      </c>
    </row>
    <row r="24" spans="1:11" x14ac:dyDescent="0.4">
      <c r="A24" t="s">
        <v>12</v>
      </c>
      <c r="B24">
        <v>7</v>
      </c>
      <c r="C24">
        <v>6</v>
      </c>
      <c r="D24">
        <v>6</v>
      </c>
      <c r="E24">
        <v>2</v>
      </c>
      <c r="F24">
        <v>6</v>
      </c>
      <c r="G24">
        <v>7</v>
      </c>
      <c r="H24">
        <f t="shared" si="0"/>
        <v>5.666666666666667</v>
      </c>
      <c r="I24">
        <v>75</v>
      </c>
      <c r="J24">
        <v>780</v>
      </c>
      <c r="K24" t="s">
        <v>27</v>
      </c>
    </row>
    <row r="25" spans="1:11" x14ac:dyDescent="0.4">
      <c r="A25" t="s">
        <v>12</v>
      </c>
      <c r="B25">
        <v>5</v>
      </c>
      <c r="C25">
        <v>4</v>
      </c>
      <c r="D25">
        <v>3</v>
      </c>
      <c r="E25">
        <v>3</v>
      </c>
      <c r="F25">
        <v>6</v>
      </c>
      <c r="G25">
        <v>5</v>
      </c>
      <c r="H25">
        <f t="shared" si="0"/>
        <v>4.333333333333333</v>
      </c>
      <c r="I25">
        <v>86</v>
      </c>
      <c r="J25">
        <v>780</v>
      </c>
      <c r="K25" t="s">
        <v>28</v>
      </c>
    </row>
    <row r="26" spans="1:11" x14ac:dyDescent="0.4">
      <c r="A26" t="s">
        <v>13</v>
      </c>
      <c r="B26">
        <v>5</v>
      </c>
      <c r="C26">
        <v>5</v>
      </c>
      <c r="D26">
        <v>6</v>
      </c>
      <c r="E26">
        <v>5</v>
      </c>
      <c r="F26">
        <v>4</v>
      </c>
      <c r="G26">
        <v>5</v>
      </c>
      <c r="H26">
        <f t="shared" si="0"/>
        <v>5</v>
      </c>
      <c r="I26">
        <v>66</v>
      </c>
      <c r="J26">
        <v>780</v>
      </c>
      <c r="K26" t="s">
        <v>25</v>
      </c>
    </row>
    <row r="27" spans="1:11" x14ac:dyDescent="0.4">
      <c r="A27" t="s">
        <v>13</v>
      </c>
      <c r="B27">
        <v>4</v>
      </c>
      <c r="C27">
        <v>5</v>
      </c>
      <c r="D27">
        <v>5</v>
      </c>
      <c r="E27">
        <v>4</v>
      </c>
      <c r="F27">
        <v>6</v>
      </c>
      <c r="G27">
        <v>3</v>
      </c>
      <c r="H27">
        <f t="shared" si="0"/>
        <v>4.5</v>
      </c>
      <c r="I27">
        <v>60.833333333333329</v>
      </c>
      <c r="J27">
        <v>780</v>
      </c>
      <c r="K27" t="s">
        <v>26</v>
      </c>
    </row>
    <row r="28" spans="1:11" x14ac:dyDescent="0.4">
      <c r="A28" t="s">
        <v>13</v>
      </c>
      <c r="B28">
        <v>2</v>
      </c>
      <c r="C28">
        <v>4</v>
      </c>
      <c r="D28">
        <v>3</v>
      </c>
      <c r="E28">
        <v>4</v>
      </c>
      <c r="F28">
        <v>4</v>
      </c>
      <c r="G28">
        <v>3</v>
      </c>
      <c r="H28">
        <f t="shared" si="0"/>
        <v>3.3333333333333335</v>
      </c>
      <c r="I28">
        <v>67.5</v>
      </c>
      <c r="J28">
        <v>780</v>
      </c>
      <c r="K28" t="s">
        <v>28</v>
      </c>
    </row>
    <row r="29" spans="1:11" x14ac:dyDescent="0.4">
      <c r="A29" t="s">
        <v>14</v>
      </c>
      <c r="B29">
        <v>5</v>
      </c>
      <c r="C29">
        <v>5</v>
      </c>
      <c r="D29">
        <v>2</v>
      </c>
      <c r="E29">
        <v>2</v>
      </c>
      <c r="F29">
        <v>4</v>
      </c>
      <c r="G29">
        <v>1</v>
      </c>
      <c r="H29">
        <f t="shared" si="0"/>
        <v>3.1666666666666665</v>
      </c>
      <c r="I29">
        <v>87.5</v>
      </c>
      <c r="J29">
        <v>757.56</v>
      </c>
      <c r="K29" t="s">
        <v>25</v>
      </c>
    </row>
    <row r="30" spans="1:11" x14ac:dyDescent="0.4">
      <c r="A30" t="s">
        <v>14</v>
      </c>
      <c r="B30">
        <v>7</v>
      </c>
      <c r="C30">
        <v>5</v>
      </c>
      <c r="D30">
        <v>7</v>
      </c>
      <c r="E30">
        <v>2</v>
      </c>
      <c r="F30">
        <v>7</v>
      </c>
      <c r="G30">
        <v>5</v>
      </c>
      <c r="H30">
        <f t="shared" si="0"/>
        <v>5.5</v>
      </c>
      <c r="I30">
        <v>32</v>
      </c>
      <c r="J30">
        <v>780</v>
      </c>
      <c r="K30" t="s">
        <v>27</v>
      </c>
    </row>
    <row r="31" spans="1:11" x14ac:dyDescent="0.4">
      <c r="A31" t="s">
        <v>14</v>
      </c>
      <c r="B31">
        <v>3</v>
      </c>
      <c r="C31">
        <v>5</v>
      </c>
      <c r="D31">
        <v>5</v>
      </c>
      <c r="E31">
        <v>4</v>
      </c>
      <c r="F31">
        <v>5</v>
      </c>
      <c r="G31">
        <v>2</v>
      </c>
      <c r="H31">
        <f t="shared" si="0"/>
        <v>4</v>
      </c>
      <c r="I31">
        <v>64</v>
      </c>
      <c r="J31">
        <v>780</v>
      </c>
      <c r="K31" t="s">
        <v>28</v>
      </c>
    </row>
    <row r="32" spans="1:11" x14ac:dyDescent="0.4">
      <c r="A32" t="s">
        <v>15</v>
      </c>
      <c r="B32">
        <v>5</v>
      </c>
      <c r="C32">
        <v>6</v>
      </c>
      <c r="D32">
        <v>3</v>
      </c>
      <c r="E32">
        <v>2</v>
      </c>
      <c r="F32">
        <v>5</v>
      </c>
      <c r="G32">
        <v>2</v>
      </c>
      <c r="H32">
        <f t="shared" si="0"/>
        <v>3.8333333333333335</v>
      </c>
      <c r="I32">
        <v>68.75</v>
      </c>
      <c r="J32">
        <v>577.83000000000004</v>
      </c>
      <c r="K32" t="s">
        <v>25</v>
      </c>
    </row>
    <row r="33" spans="1:11" x14ac:dyDescent="0.4">
      <c r="A33" t="s">
        <v>15</v>
      </c>
      <c r="B33">
        <v>5</v>
      </c>
      <c r="C33">
        <v>4</v>
      </c>
      <c r="D33">
        <v>6</v>
      </c>
      <c r="E33">
        <v>3</v>
      </c>
      <c r="F33">
        <v>5</v>
      </c>
      <c r="G33">
        <v>3</v>
      </c>
      <c r="H33">
        <f t="shared" si="0"/>
        <v>4.333333333333333</v>
      </c>
      <c r="I33">
        <v>73</v>
      </c>
      <c r="J33">
        <v>723.01</v>
      </c>
      <c r="K33" t="s">
        <v>27</v>
      </c>
    </row>
    <row r="34" spans="1:11" x14ac:dyDescent="0.4">
      <c r="A34" t="s">
        <v>15</v>
      </c>
      <c r="B34">
        <v>3</v>
      </c>
      <c r="C34">
        <v>4</v>
      </c>
      <c r="D34">
        <v>2</v>
      </c>
      <c r="E34">
        <v>2</v>
      </c>
      <c r="F34">
        <v>3</v>
      </c>
      <c r="G34">
        <v>1</v>
      </c>
      <c r="H34">
        <f t="shared" si="0"/>
        <v>2.5</v>
      </c>
      <c r="I34">
        <v>75.833333333333329</v>
      </c>
      <c r="J34">
        <v>577.83000000000004</v>
      </c>
      <c r="K34" t="s">
        <v>28</v>
      </c>
    </row>
    <row r="35" spans="1:11" x14ac:dyDescent="0.4">
      <c r="A35" t="s">
        <v>16</v>
      </c>
      <c r="B35">
        <v>3</v>
      </c>
      <c r="C35">
        <v>5</v>
      </c>
      <c r="D35">
        <v>3</v>
      </c>
      <c r="E35">
        <v>2</v>
      </c>
      <c r="F35">
        <v>3</v>
      </c>
      <c r="G35">
        <v>4</v>
      </c>
      <c r="H35">
        <f t="shared" si="0"/>
        <v>3.3333333333333335</v>
      </c>
      <c r="I35">
        <v>88.75</v>
      </c>
      <c r="J35">
        <v>746.65</v>
      </c>
      <c r="K35" t="s">
        <v>25</v>
      </c>
    </row>
    <row r="36" spans="1:11" x14ac:dyDescent="0.4">
      <c r="A36" t="s">
        <v>16</v>
      </c>
      <c r="B36">
        <v>5</v>
      </c>
      <c r="C36">
        <v>6</v>
      </c>
      <c r="D36">
        <v>6</v>
      </c>
      <c r="E36">
        <v>3</v>
      </c>
      <c r="F36">
        <v>6</v>
      </c>
      <c r="G36">
        <v>5</v>
      </c>
      <c r="H36">
        <f t="shared" si="0"/>
        <v>5.166666666666667</v>
      </c>
      <c r="I36">
        <v>85.833333333333329</v>
      </c>
      <c r="J36">
        <v>780</v>
      </c>
      <c r="K36" t="s">
        <v>26</v>
      </c>
    </row>
    <row r="37" spans="1:11" x14ac:dyDescent="0.4">
      <c r="A37" t="s">
        <v>16</v>
      </c>
      <c r="B37">
        <v>5</v>
      </c>
      <c r="C37">
        <v>4</v>
      </c>
      <c r="D37">
        <v>3</v>
      </c>
      <c r="E37">
        <v>2</v>
      </c>
      <c r="F37">
        <v>3</v>
      </c>
      <c r="G37">
        <v>2</v>
      </c>
      <c r="H37">
        <f t="shared" si="0"/>
        <v>3.1666666666666665</v>
      </c>
      <c r="I37">
        <v>97</v>
      </c>
      <c r="J37">
        <v>780</v>
      </c>
      <c r="K37" t="s">
        <v>28</v>
      </c>
    </row>
    <row r="38" spans="1:11" x14ac:dyDescent="0.4">
      <c r="A38" t="s">
        <v>23</v>
      </c>
      <c r="B38">
        <v>4</v>
      </c>
      <c r="C38">
        <v>2</v>
      </c>
      <c r="D38">
        <v>3</v>
      </c>
      <c r="E38">
        <v>3</v>
      </c>
      <c r="F38">
        <v>2</v>
      </c>
      <c r="G38">
        <v>2</v>
      </c>
      <c r="H38">
        <f t="shared" si="0"/>
        <v>2.6666666666666665</v>
      </c>
      <c r="I38">
        <v>98</v>
      </c>
      <c r="J38">
        <v>777.42</v>
      </c>
      <c r="K38" t="s">
        <v>27</v>
      </c>
    </row>
    <row r="39" spans="1:11" x14ac:dyDescent="0.4">
      <c r="A39" t="s">
        <v>23</v>
      </c>
      <c r="B39">
        <v>5</v>
      </c>
      <c r="C39">
        <v>6</v>
      </c>
      <c r="D39">
        <v>5</v>
      </c>
      <c r="E39">
        <v>3</v>
      </c>
      <c r="F39">
        <v>6</v>
      </c>
      <c r="G39">
        <v>5</v>
      </c>
      <c r="H39">
        <f t="shared" si="0"/>
        <v>5</v>
      </c>
      <c r="I39">
        <v>94.166666666666671</v>
      </c>
      <c r="J39">
        <v>759.82</v>
      </c>
      <c r="K39" t="s">
        <v>25</v>
      </c>
    </row>
    <row r="40" spans="1:11" x14ac:dyDescent="0.4">
      <c r="A40" t="s">
        <v>23</v>
      </c>
      <c r="B40">
        <v>5</v>
      </c>
      <c r="C40">
        <v>5</v>
      </c>
      <c r="D40">
        <v>5</v>
      </c>
      <c r="E40">
        <v>3</v>
      </c>
      <c r="F40">
        <v>5</v>
      </c>
      <c r="G40">
        <v>4</v>
      </c>
      <c r="H40">
        <f t="shared" si="0"/>
        <v>4.5</v>
      </c>
      <c r="I40">
        <v>85</v>
      </c>
      <c r="J40">
        <v>759.82</v>
      </c>
      <c r="K40" t="s">
        <v>28</v>
      </c>
    </row>
    <row r="41" spans="1:11" x14ac:dyDescent="0.4">
      <c r="A41" t="s">
        <v>17</v>
      </c>
      <c r="B41">
        <v>5</v>
      </c>
      <c r="C41">
        <v>1</v>
      </c>
      <c r="D41">
        <v>3</v>
      </c>
      <c r="E41">
        <v>2</v>
      </c>
      <c r="F41">
        <v>5</v>
      </c>
      <c r="G41">
        <v>5</v>
      </c>
      <c r="H41">
        <f t="shared" si="0"/>
        <v>3.5</v>
      </c>
      <c r="I41">
        <v>89</v>
      </c>
      <c r="J41">
        <v>780</v>
      </c>
      <c r="K41" t="s">
        <v>27</v>
      </c>
    </row>
    <row r="42" spans="1:11" x14ac:dyDescent="0.4">
      <c r="A42" t="s">
        <v>17</v>
      </c>
      <c r="B42">
        <v>4</v>
      </c>
      <c r="C42">
        <v>5</v>
      </c>
      <c r="D42">
        <v>5</v>
      </c>
      <c r="E42">
        <v>1</v>
      </c>
      <c r="F42">
        <v>3</v>
      </c>
      <c r="G42">
        <v>2</v>
      </c>
      <c r="H42">
        <f t="shared" si="0"/>
        <v>3.3333333333333335</v>
      </c>
      <c r="I42">
        <v>95</v>
      </c>
      <c r="J42">
        <v>780</v>
      </c>
      <c r="K42" t="s">
        <v>26</v>
      </c>
    </row>
    <row r="43" spans="1:11" x14ac:dyDescent="0.4">
      <c r="A43" t="s">
        <v>17</v>
      </c>
      <c r="B43">
        <v>4</v>
      </c>
      <c r="C43">
        <v>2</v>
      </c>
      <c r="D43">
        <v>1</v>
      </c>
      <c r="E43">
        <v>2</v>
      </c>
      <c r="F43">
        <v>3</v>
      </c>
      <c r="G43">
        <v>2</v>
      </c>
      <c r="H43">
        <f t="shared" si="0"/>
        <v>2.3333333333333335</v>
      </c>
      <c r="I43">
        <v>96</v>
      </c>
      <c r="J43">
        <v>586.30999999999995</v>
      </c>
      <c r="K43" t="s">
        <v>28</v>
      </c>
    </row>
    <row r="44" spans="1:11" x14ac:dyDescent="0.4">
      <c r="A44" t="s">
        <v>29</v>
      </c>
      <c r="B44">
        <v>5</v>
      </c>
      <c r="C44">
        <v>3</v>
      </c>
      <c r="D44">
        <v>3</v>
      </c>
      <c r="E44">
        <v>5</v>
      </c>
      <c r="F44">
        <v>3</v>
      </c>
      <c r="G44">
        <v>2</v>
      </c>
      <c r="H44">
        <f t="shared" si="0"/>
        <v>3.5</v>
      </c>
      <c r="I44">
        <v>66</v>
      </c>
      <c r="J44">
        <v>478.72</v>
      </c>
      <c r="K44" t="s">
        <v>27</v>
      </c>
    </row>
    <row r="45" spans="1:11" x14ac:dyDescent="0.4">
      <c r="A45" t="s">
        <v>29</v>
      </c>
      <c r="B45">
        <v>5</v>
      </c>
      <c r="C45">
        <v>3</v>
      </c>
      <c r="D45">
        <v>5</v>
      </c>
      <c r="E45">
        <v>2</v>
      </c>
      <c r="F45">
        <v>5</v>
      </c>
      <c r="G45">
        <v>3</v>
      </c>
      <c r="H45">
        <f t="shared" si="0"/>
        <v>3.8333333333333335</v>
      </c>
      <c r="I45">
        <v>84</v>
      </c>
      <c r="J45">
        <v>780</v>
      </c>
      <c r="K45" t="s">
        <v>26</v>
      </c>
    </row>
    <row r="46" spans="1:11" x14ac:dyDescent="0.4">
      <c r="A46" t="s">
        <v>29</v>
      </c>
      <c r="B46">
        <v>5</v>
      </c>
      <c r="C46">
        <v>3</v>
      </c>
      <c r="D46">
        <v>4</v>
      </c>
      <c r="E46">
        <v>3</v>
      </c>
      <c r="F46">
        <v>4</v>
      </c>
      <c r="G46">
        <v>3</v>
      </c>
      <c r="H46">
        <f t="shared" si="0"/>
        <v>3.6666666666666665</v>
      </c>
      <c r="I46">
        <v>74</v>
      </c>
      <c r="J46">
        <v>708.66</v>
      </c>
      <c r="K46" t="s">
        <v>28</v>
      </c>
    </row>
    <row r="48" spans="1:11" x14ac:dyDescent="0.4">
      <c r="A48" s="1" t="s">
        <v>9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10</v>
      </c>
      <c r="I48" s="1" t="s">
        <v>7</v>
      </c>
      <c r="J48" s="1" t="s">
        <v>8</v>
      </c>
    </row>
    <row r="49" spans="1:10" x14ac:dyDescent="0.4">
      <c r="A49" t="s">
        <v>28</v>
      </c>
      <c r="B49">
        <f>AVERAGEIF($K$2:$K$46,$A49,B$2:B$46)</f>
        <v>4.2</v>
      </c>
      <c r="C49">
        <f t="shared" ref="C49:J49" si="1">AVERAGEIF($K$2:$K$46,$A49,C$2:C$46)</f>
        <v>3.6</v>
      </c>
      <c r="D49">
        <f t="shared" si="1"/>
        <v>3.4666666666666668</v>
      </c>
      <c r="E49">
        <f t="shared" si="1"/>
        <v>2.6</v>
      </c>
      <c r="F49">
        <f t="shared" si="1"/>
        <v>4.2</v>
      </c>
      <c r="G49">
        <f t="shared" si="1"/>
        <v>3.1333333333333333</v>
      </c>
      <c r="H49">
        <f t="shared" si="1"/>
        <v>3.5333333333333332</v>
      </c>
      <c r="I49">
        <f t="shared" si="1"/>
        <v>79.222222222222229</v>
      </c>
      <c r="J49">
        <f t="shared" si="1"/>
        <v>713.42066666666665</v>
      </c>
    </row>
    <row r="50" spans="1:10" x14ac:dyDescent="0.4">
      <c r="A50" t="s">
        <v>25</v>
      </c>
      <c r="B50">
        <f t="shared" ref="B50:J52" si="2">AVERAGEIF($K$2:$K$46,$A50,B$2:B$46)</f>
        <v>4.166666666666667</v>
      </c>
      <c r="C50">
        <f t="shared" si="2"/>
        <v>4.666666666666667</v>
      </c>
      <c r="D50">
        <f t="shared" si="2"/>
        <v>3.75</v>
      </c>
      <c r="E50">
        <f t="shared" si="2"/>
        <v>2.6666666666666665</v>
      </c>
      <c r="F50">
        <f t="shared" si="2"/>
        <v>3.9166666666666665</v>
      </c>
      <c r="G50">
        <f t="shared" si="2"/>
        <v>3.25</v>
      </c>
      <c r="H50">
        <f t="shared" si="2"/>
        <v>3.7361111111111112</v>
      </c>
      <c r="I50">
        <f t="shared" si="2"/>
        <v>80.895833333333329</v>
      </c>
      <c r="J50">
        <f t="shared" si="2"/>
        <v>685.56583333333322</v>
      </c>
    </row>
    <row r="51" spans="1:10" x14ac:dyDescent="0.4">
      <c r="A51" t="s">
        <v>27</v>
      </c>
      <c r="B51">
        <f t="shared" si="2"/>
        <v>5.1111111111111107</v>
      </c>
      <c r="C51">
        <f t="shared" si="2"/>
        <v>3.2222222222222223</v>
      </c>
      <c r="D51">
        <f t="shared" si="2"/>
        <v>4.5555555555555554</v>
      </c>
      <c r="E51">
        <f t="shared" si="2"/>
        <v>2.6666666666666665</v>
      </c>
      <c r="F51">
        <f t="shared" si="2"/>
        <v>4.1111111111111107</v>
      </c>
      <c r="G51">
        <f t="shared" si="2"/>
        <v>4</v>
      </c>
      <c r="H51">
        <f t="shared" si="2"/>
        <v>3.9444444444444446</v>
      </c>
      <c r="I51">
        <f t="shared" si="2"/>
        <v>73.555555555555557</v>
      </c>
      <c r="J51">
        <f t="shared" si="2"/>
        <v>702.83888888888896</v>
      </c>
    </row>
    <row r="52" spans="1:10" x14ac:dyDescent="0.4">
      <c r="A52" t="s">
        <v>26</v>
      </c>
      <c r="B52">
        <f t="shared" si="2"/>
        <v>5</v>
      </c>
      <c r="C52">
        <f t="shared" si="2"/>
        <v>4.1111111111111107</v>
      </c>
      <c r="D52">
        <f t="shared" si="2"/>
        <v>5.1111111111111107</v>
      </c>
      <c r="E52">
        <f t="shared" si="2"/>
        <v>3.2222222222222223</v>
      </c>
      <c r="F52">
        <f t="shared" si="2"/>
        <v>4.666666666666667</v>
      </c>
      <c r="G52">
        <f t="shared" si="2"/>
        <v>3.5555555555555554</v>
      </c>
      <c r="H52">
        <f t="shared" si="2"/>
        <v>4.2777777777777777</v>
      </c>
      <c r="I52">
        <f t="shared" si="2"/>
        <v>82.592592592592595</v>
      </c>
      <c r="J52">
        <f t="shared" si="2"/>
        <v>780</v>
      </c>
    </row>
  </sheetData>
  <autoFilter ref="A1:K1" xr:uid="{00000000-0001-0000-0000-000000000000}">
    <sortState xmlns:xlrd2="http://schemas.microsoft.com/office/spreadsheetml/2017/richdata2" ref="A2:K2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E4C8-B7F6-4073-905C-4EB763340036}">
  <dimension ref="A1:K26"/>
  <sheetViews>
    <sheetView workbookViewId="0">
      <selection activeCell="C13" sqref="C13"/>
    </sheetView>
  </sheetViews>
  <sheetFormatPr baseColWidth="10" defaultRowHeight="14.6" x14ac:dyDescent="0.4"/>
  <cols>
    <col min="1" max="1" width="14.69140625" bestFit="1" customWidth="1"/>
    <col min="10" max="10" width="13.3828125" bestFit="1" customWidth="1"/>
  </cols>
  <sheetData>
    <row r="1" spans="1:11" x14ac:dyDescent="0.4">
      <c r="A1" s="1" t="s">
        <v>30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5</v>
      </c>
      <c r="G1" s="1" t="s">
        <v>6</v>
      </c>
      <c r="H1" s="1" t="s">
        <v>10</v>
      </c>
      <c r="I1" s="1" t="s">
        <v>7</v>
      </c>
      <c r="J1" s="1" t="s">
        <v>33</v>
      </c>
      <c r="K1" s="1" t="s">
        <v>8</v>
      </c>
    </row>
    <row r="2" spans="1:11" x14ac:dyDescent="0.4">
      <c r="A2" s="1" t="s">
        <v>32</v>
      </c>
      <c r="B2" s="1">
        <f>AVERAGE(B3:B26)</f>
        <v>2.6666666666666665</v>
      </c>
      <c r="C2" s="1">
        <f t="shared" ref="C2:K2" si="0">AVERAGE(C3:C26)</f>
        <v>2.125</v>
      </c>
      <c r="D2" s="1">
        <f t="shared" si="0"/>
        <v>2.5416666666666665</v>
      </c>
      <c r="E2" s="1">
        <f t="shared" si="0"/>
        <v>2.0833333333333335</v>
      </c>
      <c r="F2" s="1">
        <f t="shared" si="0"/>
        <v>2.5416666666666665</v>
      </c>
      <c r="G2" s="1">
        <f t="shared" si="0"/>
        <v>2.5416666666666665</v>
      </c>
      <c r="H2" s="1">
        <f t="shared" si="0"/>
        <v>2.4166666666666665</v>
      </c>
      <c r="I2" s="1">
        <f t="shared" si="0"/>
        <v>60.75</v>
      </c>
      <c r="J2" s="1">
        <f t="shared" si="0"/>
        <v>0.99019620811287468</v>
      </c>
      <c r="K2" s="1">
        <f t="shared" si="0"/>
        <v>348.52458333333334</v>
      </c>
    </row>
    <row r="3" spans="1:11" x14ac:dyDescent="0.4">
      <c r="A3" t="s">
        <v>54</v>
      </c>
      <c r="B3">
        <v>3</v>
      </c>
      <c r="C3">
        <v>2</v>
      </c>
      <c r="D3">
        <v>2</v>
      </c>
      <c r="E3">
        <v>2</v>
      </c>
      <c r="F3">
        <v>3</v>
      </c>
      <c r="G3">
        <v>2</v>
      </c>
      <c r="H3">
        <f>SUM(B3:G3)/COUNTA($B$1:$G$1)</f>
        <v>2.3333333333333335</v>
      </c>
      <c r="I3">
        <v>69</v>
      </c>
      <c r="J3">
        <f>I3/70</f>
        <v>0.98571428571428577</v>
      </c>
      <c r="K3">
        <v>228.17</v>
      </c>
    </row>
    <row r="4" spans="1:11" x14ac:dyDescent="0.4">
      <c r="A4" t="s">
        <v>44</v>
      </c>
      <c r="B4">
        <v>3</v>
      </c>
      <c r="C4">
        <v>3</v>
      </c>
      <c r="D4">
        <v>3</v>
      </c>
      <c r="E4">
        <v>2</v>
      </c>
      <c r="F4">
        <v>3</v>
      </c>
      <c r="G4">
        <v>2</v>
      </c>
      <c r="H4">
        <f t="shared" ref="H4:H26" si="1">SUM(B4:G4)/COUNTA($B$1:$G$1)</f>
        <v>2.6666666666666665</v>
      </c>
      <c r="I4">
        <v>66.5</v>
      </c>
      <c r="J4">
        <f>I4/67.5</f>
        <v>0.98518518518518516</v>
      </c>
      <c r="K4">
        <v>407.99</v>
      </c>
    </row>
    <row r="5" spans="1:11" x14ac:dyDescent="0.4">
      <c r="A5" t="s">
        <v>50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f t="shared" si="1"/>
        <v>1.1666666666666667</v>
      </c>
      <c r="I5">
        <v>67.5</v>
      </c>
      <c r="J5">
        <f>I5/67.5</f>
        <v>1</v>
      </c>
      <c r="K5">
        <v>129.41999999999999</v>
      </c>
    </row>
    <row r="6" spans="1:11" x14ac:dyDescent="0.4">
      <c r="A6" t="s">
        <v>56</v>
      </c>
      <c r="B6">
        <v>1</v>
      </c>
      <c r="C6">
        <v>2</v>
      </c>
      <c r="D6">
        <v>2</v>
      </c>
      <c r="E6">
        <v>1</v>
      </c>
      <c r="F6">
        <v>2</v>
      </c>
      <c r="G6">
        <v>2</v>
      </c>
      <c r="H6">
        <f t="shared" si="1"/>
        <v>1.6666666666666667</v>
      </c>
      <c r="I6">
        <v>70</v>
      </c>
      <c r="J6">
        <f>I6/70</f>
        <v>1</v>
      </c>
      <c r="K6">
        <v>211.77</v>
      </c>
    </row>
    <row r="7" spans="1:11" x14ac:dyDescent="0.4">
      <c r="A7" t="s">
        <v>40</v>
      </c>
      <c r="B7">
        <v>2</v>
      </c>
      <c r="C7">
        <v>2</v>
      </c>
      <c r="D7">
        <v>1</v>
      </c>
      <c r="E7">
        <v>1</v>
      </c>
      <c r="F7">
        <v>2</v>
      </c>
      <c r="G7">
        <v>1</v>
      </c>
      <c r="H7">
        <f t="shared" si="1"/>
        <v>1.5</v>
      </c>
      <c r="I7">
        <v>50</v>
      </c>
      <c r="J7">
        <f>I7/50</f>
        <v>1</v>
      </c>
      <c r="K7">
        <v>101.09</v>
      </c>
    </row>
    <row r="8" spans="1:11" x14ac:dyDescent="0.4">
      <c r="A8" t="s">
        <v>49</v>
      </c>
      <c r="B8">
        <v>3</v>
      </c>
      <c r="C8">
        <v>4</v>
      </c>
      <c r="D8">
        <v>4</v>
      </c>
      <c r="E8">
        <v>2</v>
      </c>
      <c r="F8">
        <v>3</v>
      </c>
      <c r="G8">
        <v>4</v>
      </c>
      <c r="H8">
        <f t="shared" si="1"/>
        <v>3.3333333333333335</v>
      </c>
      <c r="I8">
        <v>60</v>
      </c>
      <c r="J8">
        <f>I8/60</f>
        <v>1</v>
      </c>
      <c r="K8">
        <v>401.69</v>
      </c>
    </row>
    <row r="9" spans="1:11" x14ac:dyDescent="0.4">
      <c r="A9" t="s">
        <v>45</v>
      </c>
      <c r="B9">
        <v>3</v>
      </c>
      <c r="C9">
        <v>3</v>
      </c>
      <c r="D9">
        <v>2</v>
      </c>
      <c r="E9">
        <v>2</v>
      </c>
      <c r="F9">
        <v>3</v>
      </c>
      <c r="G9">
        <v>3</v>
      </c>
      <c r="H9">
        <f t="shared" si="1"/>
        <v>2.6666666666666665</v>
      </c>
      <c r="I9">
        <v>67.5</v>
      </c>
      <c r="J9">
        <f>I9/67.5</f>
        <v>1</v>
      </c>
      <c r="K9">
        <v>447.34</v>
      </c>
    </row>
    <row r="10" spans="1:11" x14ac:dyDescent="0.4">
      <c r="A10" t="s">
        <v>37</v>
      </c>
      <c r="B10">
        <v>3</v>
      </c>
      <c r="C10">
        <v>2</v>
      </c>
      <c r="D10">
        <v>1</v>
      </c>
      <c r="E10">
        <v>1</v>
      </c>
      <c r="F10">
        <v>2</v>
      </c>
      <c r="G10">
        <v>1</v>
      </c>
      <c r="H10">
        <f t="shared" si="1"/>
        <v>1.6666666666666667</v>
      </c>
      <c r="I10">
        <v>50</v>
      </c>
      <c r="J10">
        <f t="shared" ref="J10:J15" si="2">I10/50</f>
        <v>1</v>
      </c>
      <c r="K10">
        <v>309.20999999999998</v>
      </c>
    </row>
    <row r="11" spans="1:11" x14ac:dyDescent="0.4">
      <c r="A11" t="s">
        <v>36</v>
      </c>
      <c r="B11">
        <v>3</v>
      </c>
      <c r="C11">
        <v>2</v>
      </c>
      <c r="D11">
        <v>2</v>
      </c>
      <c r="E11">
        <v>2</v>
      </c>
      <c r="F11">
        <v>3</v>
      </c>
      <c r="G11">
        <v>2</v>
      </c>
      <c r="H11">
        <f t="shared" si="1"/>
        <v>2.3333333333333335</v>
      </c>
      <c r="I11">
        <v>49.5</v>
      </c>
      <c r="J11">
        <f t="shared" si="2"/>
        <v>0.99</v>
      </c>
      <c r="K11">
        <v>392.18</v>
      </c>
    </row>
    <row r="12" spans="1:11" x14ac:dyDescent="0.4">
      <c r="A12" t="s">
        <v>34</v>
      </c>
      <c r="B12">
        <v>2</v>
      </c>
      <c r="C12">
        <v>1</v>
      </c>
      <c r="D12">
        <v>1</v>
      </c>
      <c r="E12">
        <v>2</v>
      </c>
      <c r="F12">
        <v>2</v>
      </c>
      <c r="G12">
        <v>1</v>
      </c>
      <c r="H12">
        <f t="shared" si="1"/>
        <v>1.5</v>
      </c>
      <c r="I12">
        <v>50</v>
      </c>
      <c r="J12">
        <f t="shared" si="2"/>
        <v>1</v>
      </c>
      <c r="K12">
        <v>234.9</v>
      </c>
    </row>
    <row r="13" spans="1:11" s="2" customFormat="1" x14ac:dyDescent="0.4">
      <c r="A13" s="2" t="s">
        <v>35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f t="shared" si="1"/>
        <v>1</v>
      </c>
      <c r="I13" s="2">
        <v>49</v>
      </c>
      <c r="J13" s="2">
        <f t="shared" si="2"/>
        <v>0.98</v>
      </c>
      <c r="K13" s="2">
        <v>73.010000000000005</v>
      </c>
    </row>
    <row r="14" spans="1:11" x14ac:dyDescent="0.4">
      <c r="A14" t="s">
        <v>38</v>
      </c>
      <c r="B14" s="2">
        <v>3</v>
      </c>
      <c r="C14" s="2">
        <v>2</v>
      </c>
      <c r="D14" s="2">
        <v>7</v>
      </c>
      <c r="E14" s="2">
        <v>3</v>
      </c>
      <c r="F14" s="2">
        <v>2</v>
      </c>
      <c r="G14" s="2">
        <v>5</v>
      </c>
      <c r="H14" s="2">
        <f t="shared" si="1"/>
        <v>3.6666666666666665</v>
      </c>
      <c r="I14" s="2">
        <v>47.5</v>
      </c>
      <c r="J14" s="2">
        <f t="shared" si="2"/>
        <v>0.95</v>
      </c>
      <c r="K14" s="2">
        <v>773.05</v>
      </c>
    </row>
    <row r="15" spans="1:11" x14ac:dyDescent="0.4">
      <c r="A15" t="s">
        <v>39</v>
      </c>
      <c r="B15" s="2">
        <v>2</v>
      </c>
      <c r="C15" s="2">
        <v>1</v>
      </c>
      <c r="D15" s="2">
        <v>1</v>
      </c>
      <c r="E15" s="2">
        <v>2</v>
      </c>
      <c r="F15" s="2">
        <v>2</v>
      </c>
      <c r="G15" s="2">
        <v>1</v>
      </c>
      <c r="H15" s="2">
        <f t="shared" si="1"/>
        <v>1.5</v>
      </c>
      <c r="I15" s="2">
        <v>50</v>
      </c>
      <c r="J15" s="2">
        <f t="shared" si="2"/>
        <v>1</v>
      </c>
      <c r="K15" s="2">
        <v>191.01</v>
      </c>
    </row>
    <row r="16" spans="1:11" x14ac:dyDescent="0.4">
      <c r="A16" t="s">
        <v>41</v>
      </c>
      <c r="B16" s="2">
        <v>2</v>
      </c>
      <c r="C16" s="2">
        <v>1</v>
      </c>
      <c r="D16" s="2">
        <v>1</v>
      </c>
      <c r="E16" s="2">
        <v>1</v>
      </c>
      <c r="F16" s="2">
        <v>2</v>
      </c>
      <c r="G16" s="2">
        <v>1</v>
      </c>
      <c r="H16" s="2">
        <f t="shared" si="1"/>
        <v>1.3333333333333333</v>
      </c>
      <c r="I16" s="2">
        <v>67.5</v>
      </c>
      <c r="J16" s="2">
        <f>I16/67.5</f>
        <v>1</v>
      </c>
      <c r="K16" s="2">
        <v>143.44</v>
      </c>
    </row>
    <row r="17" spans="1:11" x14ac:dyDescent="0.4">
      <c r="A17" t="s">
        <v>42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f t="shared" si="1"/>
        <v>1</v>
      </c>
      <c r="I17" s="2">
        <v>67.5</v>
      </c>
      <c r="J17" s="2">
        <f>I17/67.5</f>
        <v>1</v>
      </c>
      <c r="K17" s="2">
        <v>201.97</v>
      </c>
    </row>
    <row r="18" spans="1:11" x14ac:dyDescent="0.4">
      <c r="A18" t="s">
        <v>43</v>
      </c>
      <c r="B18" s="2">
        <v>3</v>
      </c>
      <c r="C18" s="2">
        <v>3</v>
      </c>
      <c r="D18" s="2">
        <v>6</v>
      </c>
      <c r="E18" s="2">
        <v>7</v>
      </c>
      <c r="F18" s="2">
        <v>3</v>
      </c>
      <c r="G18" s="2">
        <v>7</v>
      </c>
      <c r="H18" s="2">
        <f t="shared" si="1"/>
        <v>4.833333333333333</v>
      </c>
      <c r="I18" s="2">
        <v>63</v>
      </c>
      <c r="J18">
        <f>I18/67.5</f>
        <v>0.93333333333333335</v>
      </c>
      <c r="K18" s="2">
        <v>766.61</v>
      </c>
    </row>
    <row r="19" spans="1:11" x14ac:dyDescent="0.4">
      <c r="A19" t="s">
        <v>57</v>
      </c>
      <c r="B19" s="2">
        <v>2</v>
      </c>
      <c r="C19" s="2">
        <v>1</v>
      </c>
      <c r="D19" s="2">
        <v>2</v>
      </c>
      <c r="E19" s="2">
        <v>2</v>
      </c>
      <c r="F19" s="2">
        <v>2</v>
      </c>
      <c r="G19" s="2">
        <v>1</v>
      </c>
      <c r="H19" s="2">
        <f t="shared" si="1"/>
        <v>1.6666666666666667</v>
      </c>
      <c r="I19" s="2">
        <v>67.5</v>
      </c>
      <c r="J19">
        <f>I19/67.5</f>
        <v>1</v>
      </c>
      <c r="K19" s="2">
        <v>99.36</v>
      </c>
    </row>
    <row r="20" spans="1:11" x14ac:dyDescent="0.4">
      <c r="A20" t="s">
        <v>46</v>
      </c>
      <c r="B20" s="2">
        <v>3</v>
      </c>
      <c r="C20" s="2">
        <v>2</v>
      </c>
      <c r="D20" s="2">
        <v>2</v>
      </c>
      <c r="E20" s="2">
        <v>2</v>
      </c>
      <c r="F20" s="2">
        <v>3</v>
      </c>
      <c r="G20" s="2">
        <v>3</v>
      </c>
      <c r="H20" s="2">
        <f t="shared" si="1"/>
        <v>2.5</v>
      </c>
      <c r="I20" s="2">
        <v>59</v>
      </c>
      <c r="J20">
        <f>I20/60</f>
        <v>0.98333333333333328</v>
      </c>
      <c r="K20" s="2">
        <v>177.12</v>
      </c>
    </row>
    <row r="21" spans="1:11" x14ac:dyDescent="0.4">
      <c r="A21" s="3" t="s">
        <v>47</v>
      </c>
      <c r="B21" s="2">
        <v>3</v>
      </c>
      <c r="C21" s="2">
        <v>2</v>
      </c>
      <c r="D21" s="2">
        <v>1</v>
      </c>
      <c r="E21" s="2">
        <v>1</v>
      </c>
      <c r="F21" s="2">
        <v>2</v>
      </c>
      <c r="G21" s="2">
        <v>1</v>
      </c>
      <c r="H21" s="2">
        <f t="shared" si="1"/>
        <v>1.6666666666666667</v>
      </c>
      <c r="I21" s="2">
        <v>60</v>
      </c>
      <c r="J21">
        <f>I21/60</f>
        <v>1</v>
      </c>
      <c r="K21" s="2">
        <v>208.85</v>
      </c>
    </row>
    <row r="22" spans="1:11" x14ac:dyDescent="0.4">
      <c r="A22" t="s">
        <v>48</v>
      </c>
      <c r="B22" s="2">
        <v>5</v>
      </c>
      <c r="C22" s="2">
        <v>5</v>
      </c>
      <c r="D22" s="2">
        <v>5</v>
      </c>
      <c r="E22" s="2">
        <v>3</v>
      </c>
      <c r="F22" s="2">
        <v>6</v>
      </c>
      <c r="G22" s="2">
        <v>6</v>
      </c>
      <c r="H22" s="2">
        <f t="shared" si="1"/>
        <v>5</v>
      </c>
      <c r="I22" s="2">
        <v>60</v>
      </c>
      <c r="J22">
        <f>I22/60</f>
        <v>1</v>
      </c>
      <c r="K22" s="2">
        <v>746.62</v>
      </c>
    </row>
    <row r="23" spans="1:11" x14ac:dyDescent="0.4">
      <c r="A23" t="s">
        <v>51</v>
      </c>
      <c r="B23" s="2">
        <v>3</v>
      </c>
      <c r="C23" s="2">
        <v>2</v>
      </c>
      <c r="D23" s="2">
        <v>6</v>
      </c>
      <c r="E23" s="2">
        <v>6</v>
      </c>
      <c r="F23" s="2">
        <v>3</v>
      </c>
      <c r="G23" s="2">
        <v>7</v>
      </c>
      <c r="H23" s="2">
        <f t="shared" si="1"/>
        <v>4.5</v>
      </c>
      <c r="I23" s="2">
        <v>67</v>
      </c>
      <c r="J23">
        <f>I23/70</f>
        <v>0.95714285714285718</v>
      </c>
      <c r="K23" s="2">
        <v>780</v>
      </c>
    </row>
    <row r="24" spans="1:11" x14ac:dyDescent="0.4">
      <c r="A24" t="s">
        <v>52</v>
      </c>
      <c r="B24" s="2">
        <v>3</v>
      </c>
      <c r="C24" s="2">
        <v>2</v>
      </c>
      <c r="D24" s="2">
        <v>3</v>
      </c>
      <c r="E24" s="2">
        <v>1</v>
      </c>
      <c r="F24" s="2">
        <v>3</v>
      </c>
      <c r="G24" s="2">
        <v>1</v>
      </c>
      <c r="H24" s="2">
        <f t="shared" si="1"/>
        <v>2.1666666666666665</v>
      </c>
      <c r="I24" s="2">
        <v>70</v>
      </c>
      <c r="J24">
        <f>I24/70</f>
        <v>1</v>
      </c>
      <c r="K24" s="2">
        <v>480.7</v>
      </c>
    </row>
    <row r="25" spans="1:11" x14ac:dyDescent="0.4">
      <c r="A25" t="s">
        <v>53</v>
      </c>
      <c r="B25" s="2">
        <v>3</v>
      </c>
      <c r="C25" s="2">
        <v>1</v>
      </c>
      <c r="D25" s="2">
        <v>2</v>
      </c>
      <c r="E25" s="2">
        <v>2</v>
      </c>
      <c r="F25" s="2">
        <v>2</v>
      </c>
      <c r="G25" s="2">
        <v>2</v>
      </c>
      <c r="H25" s="2">
        <f t="shared" si="1"/>
        <v>2</v>
      </c>
      <c r="I25" s="2">
        <v>70</v>
      </c>
      <c r="J25">
        <f>I25/70</f>
        <v>1</v>
      </c>
      <c r="K25" s="2">
        <v>104.01</v>
      </c>
    </row>
    <row r="26" spans="1:11" x14ac:dyDescent="0.4">
      <c r="A26" t="s">
        <v>55</v>
      </c>
      <c r="B26" s="2">
        <v>5</v>
      </c>
      <c r="C26" s="2">
        <v>5</v>
      </c>
      <c r="D26" s="2">
        <v>4</v>
      </c>
      <c r="E26" s="2">
        <v>2</v>
      </c>
      <c r="F26" s="2">
        <v>5</v>
      </c>
      <c r="G26" s="2">
        <v>5</v>
      </c>
      <c r="H26" s="2">
        <f t="shared" si="1"/>
        <v>4.333333333333333</v>
      </c>
      <c r="I26" s="2">
        <v>60</v>
      </c>
      <c r="J26">
        <f>I26/60</f>
        <v>1</v>
      </c>
      <c r="K26" s="2">
        <v>755.08</v>
      </c>
    </row>
  </sheetData>
  <autoFilter ref="A1:K1" xr:uid="{54B9E4C8-B7F6-4073-905C-4EB763340036}"/>
  <conditionalFormatting sqref="A1:A1048576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first study</vt:lpstr>
      <vt:lpstr>second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Seyyid Ciftci</dc:creator>
  <cp:lastModifiedBy>Seyyid Ciftci</cp:lastModifiedBy>
  <dcterms:created xsi:type="dcterms:W3CDTF">2015-06-05T18:19:34Z</dcterms:created>
  <dcterms:modified xsi:type="dcterms:W3CDTF">2026-03-21T02:14:02Z</dcterms:modified>
</cp:coreProperties>
</file>